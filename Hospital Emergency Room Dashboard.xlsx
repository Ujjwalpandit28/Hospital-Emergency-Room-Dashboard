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ujjwa\Desktop\My Excel\Hospital Emergency Room Dashboard\"/>
    </mc:Choice>
  </mc:AlternateContent>
  <xr:revisionPtr revIDLastSave="0" documentId="13_ncr:1_{745AC311-FB7E-4CDB-A393-DCF006218D0A}" xr6:coauthVersionLast="47" xr6:coauthVersionMax="47" xr10:uidLastSave="{00000000-0000-0000-0000-000000000000}"/>
  <bookViews>
    <workbookView xWindow="-108" yWindow="-108" windowWidth="23256" windowHeight="12456" activeTab="4" xr2:uid="{523B32B1-5DD1-4F4D-A6C5-1AC6C1E8A374}"/>
  </bookViews>
  <sheets>
    <sheet name="Dashboard" sheetId="2" r:id="rId1"/>
    <sheet name="Daily ER No. Of Patient" sheetId="3" r:id="rId2"/>
    <sheet name="Avg. waittime daily trend" sheetId="5" r:id="rId3"/>
    <sheet name="Daily satisfaction score" sheetId="6" r:id="rId4"/>
    <sheet name="Pivot Report" sheetId="1"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df7505b-00c3-4bc2-a609-813003e157d3" name="Hospital Emergency Room Data" connection="Query - Hospital Emergency Room Data"/>
          <x15:modelTable id="Calender_Table_bc77fbe5-56fe-4607-9ea0-db473d95efb5"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1" l="1"/>
  <c r="B51" i="1"/>
  <c r="A51" i="1"/>
  <c r="C50" i="1"/>
  <c r="B50"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BEBD31-BBB6-4396-9C2A-8437AB96B1F5}" name="Query - Calender_Table" description="Connection to the 'Calender_Table' query in the workbook." type="100" refreshedVersion="8" minRefreshableVersion="5">
    <extLst>
      <ext xmlns:x15="http://schemas.microsoft.com/office/spreadsheetml/2010/11/main" uri="{DE250136-89BD-433C-8126-D09CA5730AF9}">
        <x15:connection id="108822ce-e7e1-44db-85f1-34223229487e"/>
      </ext>
    </extLst>
  </connection>
  <connection id="2" xr16:uid="{EE1E8466-A246-4748-A8F0-0B6DC100744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b1cfc92-ff35-4c14-a961-6684d6ed3fda"/>
      </ext>
    </extLst>
  </connection>
  <connection id="3" xr16:uid="{B2648682-00A5-4030-AE2C-7D5B5A3CAA4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<sst xmlns="http://schemas.openxmlformats.org/spreadsheetml/2006/main" count="159" uniqueCount="77">
  <si>
    <t>Distinct Count of Patient Id</t>
  </si>
  <si>
    <t>No. of Patient</t>
  </si>
  <si>
    <t>Average of Patient Waittime</t>
  </si>
  <si>
    <t>Average of Patient Satisfaction Score</t>
  </si>
  <si>
    <t>Row Labels</t>
  </si>
  <si>
    <t>Grand Total</t>
  </si>
  <si>
    <t>2024</t>
  </si>
  <si>
    <t>Showing a daily trend with an area sparkline to spot patterns like busy days or Seasonal trends</t>
  </si>
  <si>
    <t>daily trends of no. of patient</t>
  </si>
  <si>
    <t>daily avg. wait time</t>
  </si>
  <si>
    <t>Male</t>
  </si>
  <si>
    <t>None</t>
  </si>
  <si>
    <t>Admitted</t>
  </si>
  <si>
    <t>30-39</t>
  </si>
  <si>
    <t>OnTime</t>
  </si>
  <si>
    <t>Female</t>
  </si>
  <si>
    <t>Not Admitted</t>
  </si>
  <si>
    <t>20-29</t>
  </si>
  <si>
    <t>Delay</t>
  </si>
  <si>
    <t>0-09</t>
  </si>
  <si>
    <t>70-79</t>
  </si>
  <si>
    <t>50-59</t>
  </si>
  <si>
    <t>General Practice</t>
  </si>
  <si>
    <t>Orthopedics</t>
  </si>
  <si>
    <t>Cardiology</t>
  </si>
  <si>
    <t>60-69</t>
  </si>
  <si>
    <t>10-19</t>
  </si>
  <si>
    <t>Neurology</t>
  </si>
  <si>
    <t>Use an area arkline to track daily change and highlight days with longer wait times that might need improvrment.</t>
  </si>
  <si>
    <t>daily satisfaction trends</t>
  </si>
  <si>
    <t>Use an area arkline to track daily satisfaction score of patient.</t>
  </si>
  <si>
    <t>Count of Patient Admission Flag</t>
  </si>
  <si>
    <t>Count of Patient Admission Flag2</t>
  </si>
  <si>
    <t>Addmission Status</t>
  </si>
  <si>
    <t>% Satus</t>
  </si>
  <si>
    <t>Count of Age Group</t>
  </si>
  <si>
    <t>40-49</t>
  </si>
  <si>
    <t>age group wise analysis</t>
  </si>
  <si>
    <t>Count of Patient Attend Status</t>
  </si>
  <si>
    <t>patient Attend Status</t>
  </si>
  <si>
    <t>Count of Patient Gender</t>
  </si>
  <si>
    <t>gender wise analysis</t>
  </si>
  <si>
    <t>Gastroenterology</t>
  </si>
  <si>
    <t>Physiotherapy</t>
  </si>
  <si>
    <t>Renal</t>
  </si>
  <si>
    <t>Count of Department Referral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</si>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</sst>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sz val="9"/>
      <color theme="1"/>
      <name val="Aptos Narrow"/>
      <family val="2"/>
      <scheme val="minor"/>
    </font>
    <font>
      <sz val="12"/>
      <color theme="1"/>
      <name val="Aptos Narrow"/>
      <family val="2"/>
      <scheme val="minor"/>
    </font>
    <font>
      <sz val="8"/>
      <color rgb="FF000000"/>
      <name val="Aptos Narrow"/>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2" tint="-0.249977111117893"/>
        <bgColor indexed="64"/>
      </patternFill>
    </fill>
    <fill>
      <patternFill patternType="solid">
        <fgColor theme="3" tint="0.249977111117893"/>
        <bgColor indexed="64"/>
      </patternFill>
    </fill>
    <fill>
      <patternFill patternType="solid">
        <fgColor theme="2" tint="-9.9978637043366805E-2"/>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3" fillId="3" borderId="0" xfId="0" applyFont="1" applyFill="1"/>
    <xf numFmtId="0" fontId="4" fillId="3" borderId="0" xfId="0" applyFont="1" applyFill="1"/>
    <xf numFmtId="10" fontId="0" fillId="0" borderId="0" xfId="0" applyNumberFormat="1"/>
    <xf numFmtId="0" fontId="2" fillId="6" borderId="0" xfId="0"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0" fontId="0" fillId="5" borderId="0" xfId="0" applyFill="1" applyAlignment="1">
      <alignment horizontal="center"/>
    </xf>
    <xf numFmtId="9" fontId="0" fillId="5" borderId="0" xfId="1" applyFont="1" applyFill="1" applyAlignment="1">
      <alignment horizontal="center"/>
    </xf>
    <xf numFmtId="1" fontId="0" fillId="0" borderId="0" xfId="0" applyNumberFormat="1"/>
    <xf numFmtId="0" fontId="5" fillId="0" borderId="0" xfId="0" applyFont="1" applyAlignment="1">
      <alignment horizontal="center" vertical="center"/>
    </xf>
    <xf numFmtId="9" fontId="0" fillId="0" borderId="0" xfId="0" applyNumberFormat="1"/>
  </cellXfs>
  <cellStyles count="2">
    <cellStyle name="Normal" xfId="0" builtinId="0"/>
    <cellStyle name="Percent" xfId="1" builtinId="5"/>
  </cellStyles>
  <dxfs count="2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3" formatCode="0%"/>
    </dxf>
    <dxf>
      <numFmt numFmtId="14" formatCode="0.00%"/>
    </dxf>
    <dxf>
      <numFmt numFmtId="2" formatCode="0.00"/>
    </dxf>
    <dxf>
      <numFmt numFmtId="2" formatCode="0.00"/>
    </dxf>
    <dxf>
      <font>
        <b/>
        <color theme="1"/>
      </font>
      <border>
        <bottom style="thin">
          <color theme="5"/>
        </bottom>
        <vertical/>
        <horizontal/>
      </border>
    </dxf>
    <dxf>
      <font>
        <sz val="7"/>
        <color theme="1"/>
      </font>
      <border diagonalUp="0" diagonalDown="0">
        <left/>
        <right/>
        <top/>
        <bottom/>
        <vertical/>
        <horizontal/>
      </border>
    </dxf>
  </dxfs>
  <tableStyles count="1" defaultTableStyle="TableStyleMedium2" defaultPivotStyle="PivotStyleLight16">
    <tableStyle name="My Style" pivot="0" table="0" count="10" xr9:uid="{54530DD4-A32F-4F67-8FAE-3AB2348F7F5B}">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78868944926026E-2"/>
          <c:y val="0"/>
          <c:w val="0.98882113105507397"/>
          <c:h val="0.94551627203776989"/>
        </c:manualLayout>
      </c:layout>
      <c:areaChart>
        <c:grouping val="standard"/>
        <c:varyColors val="0"/>
        <c:ser>
          <c:idx val="0"/>
          <c:order val="0"/>
          <c:tx>
            <c:strRef>
              <c:f>'Pivot Report'!$D$5</c:f>
              <c:strCache>
                <c:ptCount val="1"/>
                <c:pt idx="0">
                  <c:v>Total</c:v>
                </c:pt>
              </c:strCache>
            </c:strRef>
          </c:tx>
          <c:spPr>
            <a:solidFill>
              <a:schemeClr val="accent1"/>
            </a:solidFill>
            <a:ln w="25400">
              <a:noFill/>
            </a:ln>
            <a:effectLst/>
          </c:spPr>
          <c:cat>
            <c:strRef>
              <c:f>'Pivot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3931-41FB-8A22-2B74E489076A}"/>
            </c:ext>
          </c:extLst>
        </c:ser>
        <c:dLbls>
          <c:showLegendKey val="0"/>
          <c:showVal val="0"/>
          <c:showCatName val="0"/>
          <c:showSerName val="0"/>
          <c:showPercent val="0"/>
          <c:showBubbleSize val="0"/>
        </c:dLbls>
        <c:axId val="285962688"/>
        <c:axId val="285964128"/>
      </c:areaChart>
      <c:catAx>
        <c:axId val="285962688"/>
        <c:scaling>
          <c:orientation val="minMax"/>
        </c:scaling>
        <c:delete val="1"/>
        <c:axPos val="b"/>
        <c:numFmt formatCode="General" sourceLinked="1"/>
        <c:majorTickMark val="out"/>
        <c:minorTickMark val="none"/>
        <c:tickLblPos val="nextTo"/>
        <c:crossAx val="285964128"/>
        <c:crosses val="autoZero"/>
        <c:auto val="1"/>
        <c:lblAlgn val="ctr"/>
        <c:lblOffset val="100"/>
        <c:noMultiLvlLbl val="0"/>
      </c:catAx>
      <c:valAx>
        <c:axId val="285964128"/>
        <c:scaling>
          <c:orientation val="minMax"/>
        </c:scaling>
        <c:delete val="1"/>
        <c:axPos val="l"/>
        <c:numFmt formatCode="General" sourceLinked="1"/>
        <c:majorTickMark val="none"/>
        <c:minorTickMark val="none"/>
        <c:tickLblPos val="nextTo"/>
        <c:crossAx val="285962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86166893575904E-3"/>
          <c:y val="0"/>
          <c:w val="0.98154362172272125"/>
          <c:h val="1"/>
        </c:manualLayout>
      </c:layout>
      <c:areaChart>
        <c:grouping val="standard"/>
        <c:varyColors val="0"/>
        <c:ser>
          <c:idx val="0"/>
          <c:order val="0"/>
          <c:tx>
            <c:strRef>
              <c:f>'Pivot Report'!$G$5</c:f>
              <c:strCache>
                <c:ptCount val="1"/>
                <c:pt idx="0">
                  <c:v>Total</c:v>
                </c:pt>
              </c:strCache>
            </c:strRef>
          </c:tx>
          <c:spPr>
            <a:solidFill>
              <a:schemeClr val="accent1"/>
            </a:solidFill>
            <a:ln w="25400">
              <a:noFill/>
            </a:ln>
            <a:effectLst/>
          </c:spPr>
          <c:cat>
            <c:strRef>
              <c:f>'Pivot Report'!$F$6:$F$37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Report'!$G$6:$G$37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63AE-45CD-B3A8-BD575CAD9642}"/>
            </c:ext>
          </c:extLst>
        </c:ser>
        <c:dLbls>
          <c:showLegendKey val="0"/>
          <c:showVal val="0"/>
          <c:showCatName val="0"/>
          <c:showSerName val="0"/>
          <c:showPercent val="0"/>
          <c:showBubbleSize val="0"/>
        </c:dLbls>
        <c:axId val="2033177455"/>
        <c:axId val="2033178415"/>
      </c:areaChart>
      <c:catAx>
        <c:axId val="2033177455"/>
        <c:scaling>
          <c:orientation val="minMax"/>
        </c:scaling>
        <c:delete val="1"/>
        <c:axPos val="b"/>
        <c:numFmt formatCode="General" sourceLinked="1"/>
        <c:majorTickMark val="out"/>
        <c:minorTickMark val="none"/>
        <c:tickLblPos val="nextTo"/>
        <c:crossAx val="2033178415"/>
        <c:crosses val="autoZero"/>
        <c:auto val="1"/>
        <c:lblAlgn val="ctr"/>
        <c:lblOffset val="100"/>
        <c:noMultiLvlLbl val="0"/>
      </c:catAx>
      <c:valAx>
        <c:axId val="2033178415"/>
        <c:scaling>
          <c:orientation val="minMax"/>
        </c:scaling>
        <c:delete val="1"/>
        <c:axPos val="l"/>
        <c:numFmt formatCode="0.00" sourceLinked="1"/>
        <c:majorTickMark val="none"/>
        <c:minorTickMark val="none"/>
        <c:tickLblPos val="nextTo"/>
        <c:crossAx val="2033177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Report'!$J$6:$J$37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F2D8-4CA9-BA3C-9EE8AA6C3CF1}"/>
            </c:ext>
          </c:extLst>
        </c:ser>
        <c:dLbls>
          <c:showLegendKey val="0"/>
          <c:showVal val="0"/>
          <c:showCatName val="0"/>
          <c:showSerName val="0"/>
          <c:showPercent val="0"/>
          <c:showBubbleSize val="0"/>
        </c:dLbls>
        <c:axId val="222260832"/>
        <c:axId val="222261312"/>
      </c:areaChart>
      <c:catAx>
        <c:axId val="222260832"/>
        <c:scaling>
          <c:orientation val="minMax"/>
        </c:scaling>
        <c:delete val="1"/>
        <c:axPos val="b"/>
        <c:numFmt formatCode="General" sourceLinked="1"/>
        <c:majorTickMark val="out"/>
        <c:minorTickMark val="none"/>
        <c:tickLblPos val="nextTo"/>
        <c:crossAx val="222261312"/>
        <c:crosses val="autoZero"/>
        <c:auto val="1"/>
        <c:lblAlgn val="ctr"/>
        <c:lblOffset val="100"/>
        <c:noMultiLvlLbl val="0"/>
      </c:catAx>
      <c:valAx>
        <c:axId val="222261312"/>
        <c:scaling>
          <c:orientation val="minMax"/>
        </c:scaling>
        <c:delete val="1"/>
        <c:axPos val="l"/>
        <c:numFmt formatCode="0.00" sourceLinked="1"/>
        <c:majorTickMark val="none"/>
        <c:minorTickMark val="none"/>
        <c:tickLblPos val="nextTo"/>
        <c:crossAx val="2222608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25985136739975E-2"/>
          <c:y val="0.14336512953660327"/>
          <c:w val="0.91454802972652005"/>
          <c:h val="0.55533001175039898"/>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72</c:v>
                </c:pt>
                <c:pt idx="1">
                  <c:v>68</c:v>
                </c:pt>
                <c:pt idx="2">
                  <c:v>58</c:v>
                </c:pt>
                <c:pt idx="3">
                  <c:v>64</c:v>
                </c:pt>
                <c:pt idx="4">
                  <c:v>58</c:v>
                </c:pt>
                <c:pt idx="5">
                  <c:v>68</c:v>
                </c:pt>
                <c:pt idx="6">
                  <c:v>68</c:v>
                </c:pt>
                <c:pt idx="7">
                  <c:v>57</c:v>
                </c:pt>
              </c:numCache>
            </c:numRef>
          </c:val>
          <c:extLst>
            <c:ext xmlns:c16="http://schemas.microsoft.com/office/drawing/2014/chart" uri="{C3380CC4-5D6E-409C-BE32-E72D297353CC}">
              <c16:uniqueId val="{00000000-2CFB-40CB-A01E-976C6314CA24}"/>
            </c:ext>
          </c:extLst>
        </c:ser>
        <c:dLbls>
          <c:showLegendKey val="0"/>
          <c:showVal val="0"/>
          <c:showCatName val="0"/>
          <c:showSerName val="0"/>
          <c:showPercent val="0"/>
          <c:showBubbleSize val="0"/>
        </c:dLbls>
        <c:gapWidth val="219"/>
        <c:overlap val="-27"/>
        <c:axId val="222295856"/>
        <c:axId val="222298736"/>
      </c:barChart>
      <c:catAx>
        <c:axId val="22229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22298736"/>
        <c:crosses val="autoZero"/>
        <c:auto val="1"/>
        <c:lblAlgn val="ctr"/>
        <c:lblOffset val="100"/>
        <c:noMultiLvlLbl val="0"/>
      </c:catAx>
      <c:valAx>
        <c:axId val="222298736"/>
        <c:scaling>
          <c:orientation val="minMax"/>
        </c:scaling>
        <c:delete val="1"/>
        <c:axPos val="l"/>
        <c:numFmt formatCode="0" sourceLinked="1"/>
        <c:majorTickMark val="none"/>
        <c:minorTickMark val="none"/>
        <c:tickLblPos val="nextTo"/>
        <c:crossAx val="22229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Report!PivotTable9</c:name>
    <c:fmtId val="1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17217435822306007"/>
          <c:y val="0.13759791421486861"/>
          <c:w val="0.71158333823019193"/>
          <c:h val="0.77811598042727959"/>
        </c:manualLayout>
      </c:layout>
      <c:pieChart>
        <c:varyColors val="1"/>
        <c:ser>
          <c:idx val="0"/>
          <c:order val="0"/>
          <c:tx>
            <c:strRef>
              <c:f>'Pivot Report'!$B$68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54-4C91-BAB6-B8AEE42A0F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54-4C91-BAB6-B8AEE42A0F84}"/>
              </c:ext>
            </c:extLst>
          </c:dPt>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 Report'!$A$69:$A$71</c:f>
              <c:strCache>
                <c:ptCount val="2"/>
                <c:pt idx="0">
                  <c:v>Delay</c:v>
                </c:pt>
                <c:pt idx="1">
                  <c:v>OnTime</c:v>
                </c:pt>
              </c:strCache>
            </c:strRef>
          </c:cat>
          <c:val>
            <c:numRef>
              <c:f>'Pivot Report'!$B$69:$B$71</c:f>
              <c:numCache>
                <c:formatCode>0.00</c:formatCode>
                <c:ptCount val="2"/>
                <c:pt idx="0">
                  <c:v>316</c:v>
                </c:pt>
                <c:pt idx="1">
                  <c:v>197</c:v>
                </c:pt>
              </c:numCache>
            </c:numRef>
          </c:val>
          <c:extLst>
            <c:ext xmlns:c16="http://schemas.microsoft.com/office/drawing/2014/chart" uri="{C3380CC4-5D6E-409C-BE32-E72D297353CC}">
              <c16:uniqueId val="{00000004-C8C4-4517-AA92-E6B57D59B03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3.9326471291394223E-2"/>
          <c:y val="2.3104189790954965E-2"/>
          <c:w val="0.96067352870860578"/>
          <c:h val="0.128562387385999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Report!PivotTable10</c:name>
    <c:fmtId val="1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16428090852144861"/>
          <c:y val="0.15885370449467875"/>
          <c:w val="0.69412511870127203"/>
          <c:h val="0.74848490382432975"/>
        </c:manualLayout>
      </c:layout>
      <c:doughnutChart>
        <c:varyColors val="1"/>
        <c:ser>
          <c:idx val="0"/>
          <c:order val="0"/>
          <c:tx>
            <c:strRef>
              <c:f>'Pivot Report'!$E$56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F8-4410-8DF5-0BA93D7CA3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F8-4410-8DF5-0BA93D7CA39F}"/>
              </c:ext>
            </c:extLst>
          </c:dPt>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 Report'!$D$57:$D$59</c:f>
              <c:strCache>
                <c:ptCount val="2"/>
                <c:pt idx="0">
                  <c:v>Female</c:v>
                </c:pt>
                <c:pt idx="1">
                  <c:v>Male</c:v>
                </c:pt>
              </c:strCache>
            </c:strRef>
          </c:cat>
          <c:val>
            <c:numRef>
              <c:f>'Pivot Report'!$E$57:$E$59</c:f>
              <c:numCache>
                <c:formatCode>0.00</c:formatCode>
                <c:ptCount val="2"/>
                <c:pt idx="0">
                  <c:v>241</c:v>
                </c:pt>
                <c:pt idx="1">
                  <c:v>272</c:v>
                </c:pt>
              </c:numCache>
            </c:numRef>
          </c:val>
          <c:extLst>
            <c:ext xmlns:c16="http://schemas.microsoft.com/office/drawing/2014/chart" uri="{C3380CC4-5D6E-409C-BE32-E72D297353CC}">
              <c16:uniqueId val="{00000004-36FD-45BF-B0DD-9373321334B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4.6243931034653088E-2"/>
          <c:y val="2.7870823579484998E-2"/>
          <c:w val="0.9537557323929502"/>
          <c:h val="0.134808943672795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Report!PivotTable11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Report'!$A$76:$A$84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Report'!$B$76:$B$84</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59F4-46FC-8FC9-9DCB44DE8CD4}"/>
            </c:ext>
          </c:extLst>
        </c:ser>
        <c:dLbls>
          <c:showLegendKey val="0"/>
          <c:showVal val="0"/>
          <c:showCatName val="0"/>
          <c:showSerName val="0"/>
          <c:showPercent val="0"/>
          <c:showBubbleSize val="0"/>
        </c:dLbls>
        <c:gapWidth val="69"/>
        <c:axId val="893130719"/>
        <c:axId val="893138879"/>
      </c:barChart>
      <c:catAx>
        <c:axId val="89313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138879"/>
        <c:crosses val="autoZero"/>
        <c:auto val="1"/>
        <c:lblAlgn val="ctr"/>
        <c:lblOffset val="100"/>
        <c:noMultiLvlLbl val="0"/>
      </c:catAx>
      <c:valAx>
        <c:axId val="893138879"/>
        <c:scaling>
          <c:orientation val="minMax"/>
        </c:scaling>
        <c:delete val="1"/>
        <c:axPos val="b"/>
        <c:numFmt formatCode="0" sourceLinked="1"/>
        <c:majorTickMark val="none"/>
        <c:minorTickMark val="none"/>
        <c:tickLblPos val="nextTo"/>
        <c:crossAx val="89313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04096395390021E-2"/>
          <c:y val="8.1395386907197914E-2"/>
          <c:w val="0.90945426804348406"/>
          <c:h val="0.58438252001244129"/>
        </c:manualLayout>
      </c:layout>
      <c:areaChart>
        <c:grouping val="standard"/>
        <c:varyColors val="0"/>
        <c:ser>
          <c:idx val="0"/>
          <c:order val="0"/>
          <c:tx>
            <c:strRef>
              <c:f>'Pivot Report'!$D$5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8BCD-4EB6-AC7F-C9DBAE1A3FF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85962688"/>
        <c:axId val="285964128"/>
      </c:areaChart>
      <c:catAx>
        <c:axId val="2859626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5964128"/>
        <c:crosses val="autoZero"/>
        <c:auto val="1"/>
        <c:lblAlgn val="ctr"/>
        <c:lblOffset val="100"/>
        <c:noMultiLvlLbl val="0"/>
      </c:catAx>
      <c:valAx>
        <c:axId val="285964128"/>
        <c:scaling>
          <c:orientation val="minMax"/>
        </c:scaling>
        <c:delete val="1"/>
        <c:axPos val="l"/>
        <c:numFmt formatCode="General" sourceLinked="1"/>
        <c:majorTickMark val="out"/>
        <c:minorTickMark val="none"/>
        <c:tickLblPos val="nextTo"/>
        <c:crossAx val="285962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8189138639372E-3"/>
          <c:y val="0"/>
          <c:w val="0.98154362172272125"/>
          <c:h val="1"/>
        </c:manualLayout>
      </c:layout>
      <c:areaChart>
        <c:grouping val="standard"/>
        <c:varyColors val="0"/>
        <c:ser>
          <c:idx val="0"/>
          <c:order val="0"/>
          <c:tx>
            <c:strRef>
              <c:f>'Pivot Report'!$G$5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Report'!$G$6:$G$37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56A3-40AF-B605-49E6C24EDEA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33177455"/>
        <c:axId val="2033178415"/>
      </c:areaChart>
      <c:catAx>
        <c:axId val="20331774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3178415"/>
        <c:crosses val="autoZero"/>
        <c:auto val="1"/>
        <c:lblAlgn val="ctr"/>
        <c:lblOffset val="100"/>
        <c:noMultiLvlLbl val="0"/>
      </c:catAx>
      <c:valAx>
        <c:axId val="2033178415"/>
        <c:scaling>
          <c:orientation val="minMax"/>
        </c:scaling>
        <c:delete val="1"/>
        <c:axPos val="l"/>
        <c:numFmt formatCode="0.00" sourceLinked="1"/>
        <c:majorTickMark val="out"/>
        <c:minorTickMark val="none"/>
        <c:tickLblPos val="nextTo"/>
        <c:crossAx val="2033177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Report'!$I$6:$I$37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Report'!$J$6:$J$37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7BDB-4E3B-A0A4-EC1F5589C70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22260832"/>
        <c:axId val="222261312"/>
      </c:areaChart>
      <c:catAx>
        <c:axId val="2222608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2261312"/>
        <c:crosses val="autoZero"/>
        <c:auto val="1"/>
        <c:lblAlgn val="ctr"/>
        <c:lblOffset val="100"/>
        <c:noMultiLvlLbl val="0"/>
      </c:catAx>
      <c:valAx>
        <c:axId val="222261312"/>
        <c:scaling>
          <c:orientation val="minMax"/>
        </c:scaling>
        <c:delete val="1"/>
        <c:axPos val="l"/>
        <c:numFmt formatCode="0.00" sourceLinked="1"/>
        <c:majorTickMark val="out"/>
        <c:minorTickMark val="none"/>
        <c:tickLblPos val="nextTo"/>
        <c:crossAx val="2222608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wrap="square" lIns="38100" tIns="19050" rIns="38100" bIns="19050" anchor="ctr">
                <a:spAutoFit/>
              </a:bodyPr>
              <a:lstStyle/>
              <a:p>
                <a:pPr>
                  <a:defRPr/>
                </a:pPr>
                <a:fld id="{D6FA0F67-7161-416E-95BE-9FE2589365C5}" type="CELLRANGE">
                  <a:rPr lang="en-US"/>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wrap="square" lIns="38100" tIns="19050" rIns="38100" bIns="19050" anchor="ctr">
                <a:spAutoFit/>
              </a:bodyPr>
              <a:lstStyle/>
              <a:p>
                <a:pPr>
                  <a:defRPr/>
                </a:pPr>
                <a:fld id="{D5CD9D52-12AF-409E-A5E2-B7DF9AE4057F}" type="CELLRANGE">
                  <a:rPr lang="en-US"/>
                  <a:pPr>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4.7026429098175414E-2"/>
          <c:y val="5.5949979393071711E-2"/>
          <c:w val="0.91582482745212401"/>
          <c:h val="0.94124639378755337"/>
        </c:manualLayout>
      </c:layout>
      <c:barChart>
        <c:barDir val="bar"/>
        <c:grouping val="clustered"/>
        <c:varyColors val="0"/>
        <c:ser>
          <c:idx val="0"/>
          <c:order val="0"/>
          <c:tx>
            <c:strRef>
              <c:f>'Pivot Report'!$C$43:$C$44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99D-43DC-BFFC-41DF35D368A1}"/>
              </c:ext>
            </c:extLst>
          </c:dPt>
          <c:dPt>
            <c:idx val="1"/>
            <c:invertIfNegative val="0"/>
            <c:bubble3D val="0"/>
            <c:extLst>
              <c:ext xmlns:c16="http://schemas.microsoft.com/office/drawing/2014/chart" uri="{C3380CC4-5D6E-409C-BE32-E72D297353CC}">
                <c16:uniqueId val="{00000001-D99D-43DC-BFFC-41DF35D368A1}"/>
              </c:ext>
            </c:extLst>
          </c:dPt>
          <c:dLbls>
            <c:dLbl>
              <c:idx val="0"/>
              <c:tx>
                <c:rich>
                  <a:bodyPr/>
                  <a:lstStyle/>
                  <a:p>
                    <a:fld id="{D6FA0F67-7161-416E-95BE-9FE2589365C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99D-43DC-BFFC-41DF35D368A1}"/>
                </c:ext>
              </c:extLst>
            </c:dLbl>
            <c:dLbl>
              <c:idx val="1"/>
              <c:tx>
                <c:rich>
                  <a:bodyPr/>
                  <a:lstStyle/>
                  <a:p>
                    <a:fld id="{D5CD9D52-12AF-409E-A5E2-B7DF9AE4057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99D-43DC-BFFC-41DF35D368A1}"/>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Report'!$C$43:$C$44</c:f>
              <c:strCache>
                <c:ptCount val="2"/>
                <c:pt idx="0">
                  <c:v>Admitted</c:v>
                </c:pt>
                <c:pt idx="1">
                  <c:v>Not Admitted</c:v>
                </c:pt>
              </c:strCache>
            </c:strRef>
          </c:cat>
          <c:val>
            <c:numRef>
              <c:f>'Pivot Report'!$C$43:$C$44</c:f>
              <c:numCache>
                <c:formatCode>0.00</c:formatCode>
                <c:ptCount val="2"/>
                <c:pt idx="0">
                  <c:v>269</c:v>
                </c:pt>
                <c:pt idx="1">
                  <c:v>244</c:v>
                </c:pt>
              </c:numCache>
            </c:numRef>
          </c:val>
          <c:extLst>
            <c:ext xmlns:c15="http://schemas.microsoft.com/office/drawing/2012/chart" uri="{02D57815-91ED-43cb-92C2-25804820EDAC}">
              <c15:datalabelsRange>
                <c15:f>'Pivot Report'!$C$43:$C$44</c15:f>
                <c15:dlblRangeCache>
                  <c:ptCount val="2"/>
                  <c:pt idx="0">
                    <c:v>52%</c:v>
                  </c:pt>
                  <c:pt idx="1">
                    <c:v>48%</c:v>
                  </c:pt>
                </c15:dlblRangeCache>
              </c15:datalabelsRange>
            </c:ext>
            <c:ext xmlns:c16="http://schemas.microsoft.com/office/drawing/2014/chart" uri="{C3380CC4-5D6E-409C-BE32-E72D297353CC}">
              <c16:uniqueId val="{00000002-2C56-4F45-AAFB-13C2234D11A1}"/>
            </c:ext>
          </c:extLst>
        </c:ser>
        <c:ser>
          <c:idx val="1"/>
          <c:order val="1"/>
          <c:tx>
            <c:strRef>
              <c:f>'Pivot Report'!$C$43:$C$44</c:f>
              <c:strCache>
                <c:ptCount val="1"/>
                <c:pt idx="0">
                  <c:v>Count of Patient Admission Flag2</c:v>
                </c:pt>
              </c:strCache>
            </c:strRef>
          </c:tx>
          <c:spPr>
            <a:solidFill>
              <a:schemeClr val="accent2"/>
            </a:solidFill>
            <a:ln>
              <a:noFill/>
            </a:ln>
            <a:effectLst/>
          </c:spPr>
          <c:invertIfNegative val="0"/>
          <c:cat>
            <c:strRef>
              <c:f>'Pivot Report'!$C$43:$C$44</c:f>
              <c:strCache>
                <c:ptCount val="2"/>
                <c:pt idx="0">
                  <c:v>Admitted</c:v>
                </c:pt>
                <c:pt idx="1">
                  <c:v>Not Admitted</c:v>
                </c:pt>
              </c:strCache>
            </c:strRef>
          </c:cat>
          <c:val>
            <c:numRef>
              <c:f>'Pivot Report'!$C$43:$C$44</c:f>
              <c:numCache>
                <c:formatCode>0%</c:formatCode>
                <c:ptCount val="2"/>
                <c:pt idx="0">
                  <c:v>0.52436647173489281</c:v>
                </c:pt>
                <c:pt idx="1">
                  <c:v>0.47563352826510719</c:v>
                </c:pt>
              </c:numCache>
            </c:numRef>
          </c:val>
          <c:extLst>
            <c:ext xmlns:c16="http://schemas.microsoft.com/office/drawing/2014/chart" uri="{C3380CC4-5D6E-409C-BE32-E72D297353CC}">
              <c16:uniqueId val="{00000003-2C56-4F45-AAFB-13C2234D11A1}"/>
            </c:ext>
          </c:extLst>
        </c:ser>
        <c:dLbls>
          <c:showLegendKey val="0"/>
          <c:showVal val="0"/>
          <c:showCatName val="0"/>
          <c:showSerName val="0"/>
          <c:showPercent val="0"/>
          <c:showBubbleSize val="0"/>
        </c:dLbls>
        <c:gapWidth val="140"/>
        <c:overlap val="74"/>
        <c:axId val="228339872"/>
        <c:axId val="228341792"/>
      </c:barChart>
      <c:catAx>
        <c:axId val="228339872"/>
        <c:scaling>
          <c:orientation val="minMax"/>
        </c:scaling>
        <c:delete val="1"/>
        <c:axPos val="l"/>
        <c:numFmt formatCode="General" sourceLinked="1"/>
        <c:majorTickMark val="none"/>
        <c:minorTickMark val="none"/>
        <c:tickLblPos val="nextTo"/>
        <c:crossAx val="228341792"/>
        <c:crosses val="autoZero"/>
        <c:auto val="1"/>
        <c:lblAlgn val="ctr"/>
        <c:lblOffset val="100"/>
        <c:noMultiLvlLbl val="0"/>
      </c:catAx>
      <c:valAx>
        <c:axId val="228341792"/>
        <c:scaling>
          <c:orientation val="minMax"/>
        </c:scaling>
        <c:delete val="1"/>
        <c:axPos val="b"/>
        <c:numFmt formatCode="0.00" sourceLinked="1"/>
        <c:majorTickMark val="none"/>
        <c:minorTickMark val="none"/>
        <c:tickLblPos val="nextTo"/>
        <c:crossAx val="22833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 satisfaction score'!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g. wait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11.svg"/></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46181</xdr:colOff>
      <xdr:row>0</xdr:row>
      <xdr:rowOff>46182</xdr:rowOff>
    </xdr:from>
    <xdr:to>
      <xdr:col>5</xdr:col>
      <xdr:colOff>230909</xdr:colOff>
      <xdr:row>3</xdr:row>
      <xdr:rowOff>27709</xdr:rowOff>
    </xdr:to>
    <xdr:sp macro="" textlink="">
      <xdr:nvSpPr>
        <xdr:cNvPr id="2" name="Rectangle: Rounded Corners 1">
          <a:extLst>
            <a:ext uri="{FF2B5EF4-FFF2-40B4-BE49-F238E27FC236}">
              <a16:creationId xmlns:a16="http://schemas.microsoft.com/office/drawing/2014/main" id="{67B18D38-74FE-01F7-95C1-5CAA3FEC3475}"/>
            </a:ext>
          </a:extLst>
        </xdr:cNvPr>
        <xdr:cNvSpPr/>
      </xdr:nvSpPr>
      <xdr:spPr>
        <a:xfrm>
          <a:off x="46181" y="46182"/>
          <a:ext cx="3232728" cy="535709"/>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286328</xdr:colOff>
      <xdr:row>0</xdr:row>
      <xdr:rowOff>46182</xdr:rowOff>
    </xdr:from>
    <xdr:to>
      <xdr:col>7</xdr:col>
      <xdr:colOff>55419</xdr:colOff>
      <xdr:row>3</xdr:row>
      <xdr:rowOff>27709</xdr:rowOff>
    </xdr:to>
    <xdr:sp macro="" textlink="">
      <xdr:nvSpPr>
        <xdr:cNvPr id="3" name="Rectangle: Rounded Corners 2">
          <a:extLst>
            <a:ext uri="{FF2B5EF4-FFF2-40B4-BE49-F238E27FC236}">
              <a16:creationId xmlns:a16="http://schemas.microsoft.com/office/drawing/2014/main" id="{F078DCD6-E5B1-4192-AAD5-4788823DD088}"/>
            </a:ext>
          </a:extLst>
        </xdr:cNvPr>
        <xdr:cNvSpPr/>
      </xdr:nvSpPr>
      <xdr:spPr>
        <a:xfrm>
          <a:off x="3334328" y="46182"/>
          <a:ext cx="988291" cy="535709"/>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106219</xdr:colOff>
      <xdr:row>0</xdr:row>
      <xdr:rowOff>46182</xdr:rowOff>
    </xdr:from>
    <xdr:to>
      <xdr:col>9</xdr:col>
      <xdr:colOff>235527</xdr:colOff>
      <xdr:row>6</xdr:row>
      <xdr:rowOff>175136</xdr:rowOff>
    </xdr:to>
    <xdr:sp macro="" textlink="">
      <xdr:nvSpPr>
        <xdr:cNvPr id="4" name="Rectangle: Rounded Corners 3">
          <a:extLst>
            <a:ext uri="{FF2B5EF4-FFF2-40B4-BE49-F238E27FC236}">
              <a16:creationId xmlns:a16="http://schemas.microsoft.com/office/drawing/2014/main" id="{CF41141B-52B8-C219-0C42-B53EE2BAAD14}"/>
            </a:ext>
          </a:extLst>
        </xdr:cNvPr>
        <xdr:cNvSpPr/>
      </xdr:nvSpPr>
      <xdr:spPr>
        <a:xfrm>
          <a:off x="4373419" y="46182"/>
          <a:ext cx="1348508" cy="1237318"/>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290947</xdr:colOff>
      <xdr:row>0</xdr:row>
      <xdr:rowOff>55773</xdr:rowOff>
    </xdr:from>
    <xdr:to>
      <xdr:col>11</xdr:col>
      <xdr:colOff>420255</xdr:colOff>
      <xdr:row>7</xdr:row>
      <xdr:rowOff>0</xdr:rowOff>
    </xdr:to>
    <xdr:sp macro="" textlink="">
      <xdr:nvSpPr>
        <xdr:cNvPr id="5" name="Rectangle: Rounded Corners 4">
          <a:extLst>
            <a:ext uri="{FF2B5EF4-FFF2-40B4-BE49-F238E27FC236}">
              <a16:creationId xmlns:a16="http://schemas.microsoft.com/office/drawing/2014/main" id="{FF4039C4-1A59-334B-3387-67A6D5467BE4}"/>
            </a:ext>
          </a:extLst>
        </xdr:cNvPr>
        <xdr:cNvSpPr/>
      </xdr:nvSpPr>
      <xdr:spPr>
        <a:xfrm>
          <a:off x="5777347" y="55773"/>
          <a:ext cx="1348508" cy="1237318"/>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46181</xdr:colOff>
      <xdr:row>3</xdr:row>
      <xdr:rowOff>73891</xdr:rowOff>
    </xdr:from>
    <xdr:to>
      <xdr:col>1</xdr:col>
      <xdr:colOff>157018</xdr:colOff>
      <xdr:row>15</xdr:row>
      <xdr:rowOff>133927</xdr:rowOff>
    </xdr:to>
    <xdr:sp macro="" textlink="">
      <xdr:nvSpPr>
        <xdr:cNvPr id="6" name="Rectangle: Rounded Corners 5">
          <a:extLst>
            <a:ext uri="{FF2B5EF4-FFF2-40B4-BE49-F238E27FC236}">
              <a16:creationId xmlns:a16="http://schemas.microsoft.com/office/drawing/2014/main" id="{0BA96A86-F447-5697-DABF-7822A35C86F2}"/>
            </a:ext>
          </a:extLst>
        </xdr:cNvPr>
        <xdr:cNvSpPr/>
      </xdr:nvSpPr>
      <xdr:spPr>
        <a:xfrm>
          <a:off x="46181" y="628073"/>
          <a:ext cx="720437" cy="2276763"/>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198582</xdr:colOff>
      <xdr:row>3</xdr:row>
      <xdr:rowOff>69273</xdr:rowOff>
    </xdr:from>
    <xdr:to>
      <xdr:col>3</xdr:col>
      <xdr:colOff>114668</xdr:colOff>
      <xdr:row>7</xdr:row>
      <xdr:rowOff>87745</xdr:rowOff>
    </xdr:to>
    <xdr:sp macro="" textlink="">
      <xdr:nvSpPr>
        <xdr:cNvPr id="7" name="Rectangle: Rounded Corners 6">
          <a:extLst>
            <a:ext uri="{FF2B5EF4-FFF2-40B4-BE49-F238E27FC236}">
              <a16:creationId xmlns:a16="http://schemas.microsoft.com/office/drawing/2014/main" id="{726296FE-18CC-56D2-8ECA-B2D14B2BF6DC}"/>
            </a:ext>
          </a:extLst>
        </xdr:cNvPr>
        <xdr:cNvSpPr/>
      </xdr:nvSpPr>
      <xdr:spPr>
        <a:xfrm>
          <a:off x="808182" y="623455"/>
          <a:ext cx="1135286" cy="757381"/>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173606</xdr:colOff>
      <xdr:row>3</xdr:row>
      <xdr:rowOff>69273</xdr:rowOff>
    </xdr:from>
    <xdr:to>
      <xdr:col>5</xdr:col>
      <xdr:colOff>85008</xdr:colOff>
      <xdr:row>7</xdr:row>
      <xdr:rowOff>87745</xdr:rowOff>
    </xdr:to>
    <xdr:sp macro="" textlink="">
      <xdr:nvSpPr>
        <xdr:cNvPr id="8" name="Rectangle: Rounded Corners 7">
          <a:extLst>
            <a:ext uri="{FF2B5EF4-FFF2-40B4-BE49-F238E27FC236}">
              <a16:creationId xmlns:a16="http://schemas.microsoft.com/office/drawing/2014/main" id="{9A307AB1-697D-1DDD-9BAA-4B047E3FFEAB}"/>
            </a:ext>
          </a:extLst>
        </xdr:cNvPr>
        <xdr:cNvSpPr/>
      </xdr:nvSpPr>
      <xdr:spPr>
        <a:xfrm>
          <a:off x="2002406" y="623455"/>
          <a:ext cx="1130602" cy="757381"/>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143947</xdr:colOff>
      <xdr:row>3</xdr:row>
      <xdr:rowOff>69273</xdr:rowOff>
    </xdr:from>
    <xdr:to>
      <xdr:col>7</xdr:col>
      <xdr:colOff>55349</xdr:colOff>
      <xdr:row>7</xdr:row>
      <xdr:rowOff>87745</xdr:rowOff>
    </xdr:to>
    <xdr:sp macro="" textlink="">
      <xdr:nvSpPr>
        <xdr:cNvPr id="9" name="Rectangle: Rounded Corners 8">
          <a:extLst>
            <a:ext uri="{FF2B5EF4-FFF2-40B4-BE49-F238E27FC236}">
              <a16:creationId xmlns:a16="http://schemas.microsoft.com/office/drawing/2014/main" id="{0E9E4F80-53AD-E346-404C-BD0FF9B19917}"/>
            </a:ext>
          </a:extLst>
        </xdr:cNvPr>
        <xdr:cNvSpPr/>
      </xdr:nvSpPr>
      <xdr:spPr>
        <a:xfrm>
          <a:off x="3191947" y="623455"/>
          <a:ext cx="1130602" cy="757381"/>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203266</xdr:colOff>
      <xdr:row>10</xdr:row>
      <xdr:rowOff>13854</xdr:rowOff>
    </xdr:from>
    <xdr:to>
      <xdr:col>7</xdr:col>
      <xdr:colOff>60036</xdr:colOff>
      <xdr:row>15</xdr:row>
      <xdr:rowOff>133927</xdr:rowOff>
    </xdr:to>
    <xdr:sp macro="" textlink="">
      <xdr:nvSpPr>
        <xdr:cNvPr id="16" name="Rectangle: Rounded Corners 15">
          <a:extLst>
            <a:ext uri="{FF2B5EF4-FFF2-40B4-BE49-F238E27FC236}">
              <a16:creationId xmlns:a16="http://schemas.microsoft.com/office/drawing/2014/main" id="{7234E357-219B-AFAC-38E4-39B5D877F538}"/>
            </a:ext>
          </a:extLst>
        </xdr:cNvPr>
        <xdr:cNvSpPr/>
      </xdr:nvSpPr>
      <xdr:spPr>
        <a:xfrm>
          <a:off x="812866" y="1861127"/>
          <a:ext cx="3514370" cy="1043709"/>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203267</xdr:colOff>
      <xdr:row>7</xdr:row>
      <xdr:rowOff>124691</xdr:rowOff>
    </xdr:from>
    <xdr:to>
      <xdr:col>7</xdr:col>
      <xdr:colOff>60037</xdr:colOff>
      <xdr:row>9</xdr:row>
      <xdr:rowOff>166254</xdr:rowOff>
    </xdr:to>
    <xdr:sp macro="" textlink="">
      <xdr:nvSpPr>
        <xdr:cNvPr id="17" name="Rectangle: Rounded Corners 16">
          <a:extLst>
            <a:ext uri="{FF2B5EF4-FFF2-40B4-BE49-F238E27FC236}">
              <a16:creationId xmlns:a16="http://schemas.microsoft.com/office/drawing/2014/main" id="{D9BD940E-0947-4CC2-9032-FF1AD3C899CD}"/>
            </a:ext>
          </a:extLst>
        </xdr:cNvPr>
        <xdr:cNvSpPr/>
      </xdr:nvSpPr>
      <xdr:spPr>
        <a:xfrm>
          <a:off x="812867" y="1417782"/>
          <a:ext cx="3514370" cy="411017"/>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120074</xdr:colOff>
      <xdr:row>7</xdr:row>
      <xdr:rowOff>27709</xdr:rowOff>
    </xdr:from>
    <xdr:to>
      <xdr:col>11</xdr:col>
      <xdr:colOff>420256</xdr:colOff>
      <xdr:row>15</xdr:row>
      <xdr:rowOff>133927</xdr:rowOff>
    </xdr:to>
    <xdr:sp macro="" textlink="">
      <xdr:nvSpPr>
        <xdr:cNvPr id="22" name="Rectangle: Rounded Corners 21">
          <a:extLst>
            <a:ext uri="{FF2B5EF4-FFF2-40B4-BE49-F238E27FC236}">
              <a16:creationId xmlns:a16="http://schemas.microsoft.com/office/drawing/2014/main" id="{92D16D1D-03A3-AD15-B466-A6FA482886B0}"/>
            </a:ext>
          </a:extLst>
        </xdr:cNvPr>
        <xdr:cNvSpPr/>
      </xdr:nvSpPr>
      <xdr:spPr>
        <a:xfrm>
          <a:off x="4387274" y="1320800"/>
          <a:ext cx="2738582" cy="1584036"/>
        </a:xfrm>
        <a:prstGeom prst="roundRect">
          <a:avLst>
            <a:gd name="adj" fmla="val 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46182</xdr:colOff>
      <xdr:row>0</xdr:row>
      <xdr:rowOff>96982</xdr:rowOff>
    </xdr:from>
    <xdr:to>
      <xdr:col>5</xdr:col>
      <xdr:colOff>133927</xdr:colOff>
      <xdr:row>1</xdr:row>
      <xdr:rowOff>120073</xdr:rowOff>
    </xdr:to>
    <xdr:sp macro="" textlink="">
      <xdr:nvSpPr>
        <xdr:cNvPr id="26" name="TextBox 25">
          <a:extLst>
            <a:ext uri="{FF2B5EF4-FFF2-40B4-BE49-F238E27FC236}">
              <a16:creationId xmlns:a16="http://schemas.microsoft.com/office/drawing/2014/main" id="{84705B0C-FAAF-BD31-16C2-D7C6830BFD5F}"/>
            </a:ext>
          </a:extLst>
        </xdr:cNvPr>
        <xdr:cNvSpPr txBox="1"/>
      </xdr:nvSpPr>
      <xdr:spPr>
        <a:xfrm>
          <a:off x="655782" y="96982"/>
          <a:ext cx="2526145"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Hospital Emergency </a:t>
          </a:r>
          <a:r>
            <a:rPr lang="en-IN" sz="1200"/>
            <a:t>Room</a:t>
          </a:r>
          <a:r>
            <a:rPr lang="en-IN" sz="1100"/>
            <a:t> Dashboard</a:t>
          </a:r>
        </a:p>
      </xdr:txBody>
    </xdr:sp>
    <xdr:clientData/>
  </xdr:twoCellAnchor>
  <xdr:twoCellAnchor editAs="oneCell">
    <xdr:from>
      <xdr:col>0</xdr:col>
      <xdr:colOff>69271</xdr:colOff>
      <xdr:row>0</xdr:row>
      <xdr:rowOff>60034</xdr:rowOff>
    </xdr:from>
    <xdr:to>
      <xdr:col>1</xdr:col>
      <xdr:colOff>101600</xdr:colOff>
      <xdr:row>3</xdr:row>
      <xdr:rowOff>4618</xdr:rowOff>
    </xdr:to>
    <xdr:pic>
      <xdr:nvPicPr>
        <xdr:cNvPr id="28" name="Picture 27">
          <a:extLst>
            <a:ext uri="{FF2B5EF4-FFF2-40B4-BE49-F238E27FC236}">
              <a16:creationId xmlns:a16="http://schemas.microsoft.com/office/drawing/2014/main" id="{10B3385C-C810-ADD5-70FA-608F9166FC7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594" t="9192" r="14226" b="11138"/>
        <a:stretch/>
      </xdr:blipFill>
      <xdr:spPr>
        <a:xfrm>
          <a:off x="69271" y="60034"/>
          <a:ext cx="641929" cy="498766"/>
        </a:xfrm>
        <a:prstGeom prst="rect">
          <a:avLst/>
        </a:prstGeom>
      </xdr:spPr>
    </xdr:pic>
    <xdr:clientData/>
  </xdr:twoCellAnchor>
  <xdr:twoCellAnchor editAs="absolute">
    <xdr:from>
      <xdr:col>2</xdr:col>
      <xdr:colOff>203201</xdr:colOff>
      <xdr:row>1</xdr:row>
      <xdr:rowOff>106218</xdr:rowOff>
    </xdr:from>
    <xdr:to>
      <xdr:col>3</xdr:col>
      <xdr:colOff>475673</xdr:colOff>
      <xdr:row>2</xdr:row>
      <xdr:rowOff>96981</xdr:rowOff>
    </xdr:to>
    <xdr:sp macro="" textlink="">
      <xdr:nvSpPr>
        <xdr:cNvPr id="29" name="TextBox 28">
          <a:extLst>
            <a:ext uri="{FF2B5EF4-FFF2-40B4-BE49-F238E27FC236}">
              <a16:creationId xmlns:a16="http://schemas.microsoft.com/office/drawing/2014/main" id="{DB2F52BD-A1D7-9571-340A-619EB1690727}"/>
            </a:ext>
          </a:extLst>
        </xdr:cNvPr>
        <xdr:cNvSpPr txBox="1"/>
      </xdr:nvSpPr>
      <xdr:spPr>
        <a:xfrm>
          <a:off x="1422401" y="290945"/>
          <a:ext cx="882072" cy="175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Monthly</a:t>
          </a:r>
          <a:r>
            <a:rPr lang="en-IN" sz="1100" baseline="0"/>
            <a:t> Report</a:t>
          </a:r>
          <a:endParaRPr lang="en-IN" sz="1100"/>
        </a:p>
      </xdr:txBody>
    </xdr:sp>
    <xdr:clientData/>
  </xdr:twoCellAnchor>
  <xdr:twoCellAnchor editAs="absolute">
    <xdr:from>
      <xdr:col>1</xdr:col>
      <xdr:colOff>207818</xdr:colOff>
      <xdr:row>3</xdr:row>
      <xdr:rowOff>133927</xdr:rowOff>
    </xdr:from>
    <xdr:to>
      <xdr:col>3</xdr:col>
      <xdr:colOff>101600</xdr:colOff>
      <xdr:row>4</xdr:row>
      <xdr:rowOff>110837</xdr:rowOff>
    </xdr:to>
    <xdr:sp macro="" textlink="'Pivot Report'!A5">
      <xdr:nvSpPr>
        <xdr:cNvPr id="30" name="TextBox 29">
          <a:extLst>
            <a:ext uri="{FF2B5EF4-FFF2-40B4-BE49-F238E27FC236}">
              <a16:creationId xmlns:a16="http://schemas.microsoft.com/office/drawing/2014/main" id="{8C776DD8-3ACC-19FD-1B60-CA09DFD12EE0}"/>
            </a:ext>
          </a:extLst>
        </xdr:cNvPr>
        <xdr:cNvSpPr txBox="1"/>
      </xdr:nvSpPr>
      <xdr:spPr>
        <a:xfrm>
          <a:off x="817418" y="688109"/>
          <a:ext cx="1112982" cy="161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C95A0F8-B104-4D8B-879E-5CD7428BB714}" type="TxLink">
            <a:rPr lang="en-US" sz="1100" b="0" i="0" u="none" strike="noStrike">
              <a:solidFill>
                <a:srgbClr val="000000"/>
              </a:solidFill>
              <a:latin typeface="Aptos Narrow"/>
            </a:rPr>
            <a:pPr algn="ctr"/>
            <a:t>513</a:t>
          </a:fld>
          <a:endParaRPr lang="en-IN" sz="1100"/>
        </a:p>
      </xdr:txBody>
    </xdr:sp>
    <xdr:clientData/>
  </xdr:twoCellAnchor>
  <xdr:twoCellAnchor editAs="absolute">
    <xdr:from>
      <xdr:col>1</xdr:col>
      <xdr:colOff>212436</xdr:colOff>
      <xdr:row>4</xdr:row>
      <xdr:rowOff>115455</xdr:rowOff>
    </xdr:from>
    <xdr:to>
      <xdr:col>3</xdr:col>
      <xdr:colOff>101599</xdr:colOff>
      <xdr:row>5</xdr:row>
      <xdr:rowOff>83128</xdr:rowOff>
    </xdr:to>
    <xdr:sp macro="" textlink="">
      <xdr:nvSpPr>
        <xdr:cNvPr id="31" name="TextBox 30">
          <a:extLst>
            <a:ext uri="{FF2B5EF4-FFF2-40B4-BE49-F238E27FC236}">
              <a16:creationId xmlns:a16="http://schemas.microsoft.com/office/drawing/2014/main" id="{6DBFD401-CAF2-6B40-43CB-D3DDF8047A48}"/>
            </a:ext>
          </a:extLst>
        </xdr:cNvPr>
        <xdr:cNvSpPr txBox="1"/>
      </xdr:nvSpPr>
      <xdr:spPr>
        <a:xfrm>
          <a:off x="822036" y="854364"/>
          <a:ext cx="1108363"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Pateint</a:t>
          </a:r>
          <a:endParaRPr lang="en-IN" sz="800"/>
        </a:p>
      </xdr:txBody>
    </xdr:sp>
    <xdr:clientData/>
  </xdr:twoCellAnchor>
  <xdr:twoCellAnchor editAs="absolute">
    <xdr:from>
      <xdr:col>3</xdr:col>
      <xdr:colOff>180109</xdr:colOff>
      <xdr:row>3</xdr:row>
      <xdr:rowOff>133927</xdr:rowOff>
    </xdr:from>
    <xdr:to>
      <xdr:col>5</xdr:col>
      <xdr:colOff>73891</xdr:colOff>
      <xdr:row>4</xdr:row>
      <xdr:rowOff>110837</xdr:rowOff>
    </xdr:to>
    <xdr:sp macro="" textlink="'Pivot Report'!A10">
      <xdr:nvSpPr>
        <xdr:cNvPr id="37" name="TextBox 36">
          <a:extLst>
            <a:ext uri="{FF2B5EF4-FFF2-40B4-BE49-F238E27FC236}">
              <a16:creationId xmlns:a16="http://schemas.microsoft.com/office/drawing/2014/main" id="{C813C545-A615-14B2-EFE9-0B3997FB016B}"/>
            </a:ext>
          </a:extLst>
        </xdr:cNvPr>
        <xdr:cNvSpPr txBox="1"/>
      </xdr:nvSpPr>
      <xdr:spPr>
        <a:xfrm>
          <a:off x="2008909" y="688109"/>
          <a:ext cx="1112982" cy="161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7B53577-A005-4212-8E65-B018AEC4C674}" type="TxLink">
            <a:rPr lang="en-US" sz="1100" b="0" i="0" u="none" strike="noStrike">
              <a:solidFill>
                <a:srgbClr val="000000"/>
              </a:solidFill>
              <a:latin typeface="Aptos Narrow"/>
            </a:rPr>
            <a:pPr algn="ctr"/>
            <a:t>36.32</a:t>
          </a:fld>
          <a:endParaRPr lang="en-IN" sz="1100"/>
        </a:p>
      </xdr:txBody>
    </xdr:sp>
    <xdr:clientData/>
  </xdr:twoCellAnchor>
  <xdr:twoCellAnchor editAs="absolute">
    <xdr:from>
      <xdr:col>3</xdr:col>
      <xdr:colOff>184727</xdr:colOff>
      <xdr:row>4</xdr:row>
      <xdr:rowOff>115455</xdr:rowOff>
    </xdr:from>
    <xdr:to>
      <xdr:col>5</xdr:col>
      <xdr:colOff>73890</xdr:colOff>
      <xdr:row>5</xdr:row>
      <xdr:rowOff>83128</xdr:rowOff>
    </xdr:to>
    <xdr:sp macro="" textlink="">
      <xdr:nvSpPr>
        <xdr:cNvPr id="38" name="TextBox 37">
          <a:extLst>
            <a:ext uri="{FF2B5EF4-FFF2-40B4-BE49-F238E27FC236}">
              <a16:creationId xmlns:a16="http://schemas.microsoft.com/office/drawing/2014/main" id="{E44ABEFA-E328-816E-5AAA-821E711905DD}"/>
            </a:ext>
          </a:extLst>
        </xdr:cNvPr>
        <xdr:cNvSpPr txBox="1"/>
      </xdr:nvSpPr>
      <xdr:spPr>
        <a:xfrm>
          <a:off x="2013527" y="854364"/>
          <a:ext cx="1108363"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a:t>
          </a:r>
          <a:r>
            <a:rPr lang="en-IN" sz="800" baseline="0"/>
            <a:t> Wait Time</a:t>
          </a:r>
          <a:endParaRPr lang="en-IN" sz="800"/>
        </a:p>
      </xdr:txBody>
    </xdr:sp>
    <xdr:clientData/>
  </xdr:twoCellAnchor>
  <xdr:twoCellAnchor editAs="absolute">
    <xdr:from>
      <xdr:col>5</xdr:col>
      <xdr:colOff>152400</xdr:colOff>
      <xdr:row>3</xdr:row>
      <xdr:rowOff>133927</xdr:rowOff>
    </xdr:from>
    <xdr:to>
      <xdr:col>7</xdr:col>
      <xdr:colOff>46182</xdr:colOff>
      <xdr:row>4</xdr:row>
      <xdr:rowOff>110837</xdr:rowOff>
    </xdr:to>
    <xdr:sp macro="" textlink="'Pivot Report'!A15">
      <xdr:nvSpPr>
        <xdr:cNvPr id="41" name="TextBox 40">
          <a:extLst>
            <a:ext uri="{FF2B5EF4-FFF2-40B4-BE49-F238E27FC236}">
              <a16:creationId xmlns:a16="http://schemas.microsoft.com/office/drawing/2014/main" id="{7405ED24-B99F-E3E0-093D-55C4ACD76722}"/>
            </a:ext>
          </a:extLst>
        </xdr:cNvPr>
        <xdr:cNvSpPr txBox="1"/>
      </xdr:nvSpPr>
      <xdr:spPr>
        <a:xfrm>
          <a:off x="3200400" y="688109"/>
          <a:ext cx="1112982" cy="161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5249FA0-02E6-4925-A2BE-E27BCE3920E7}" type="TxLink">
            <a:rPr lang="en-US" sz="1100" b="0" i="0" u="none" strike="noStrike">
              <a:solidFill>
                <a:srgbClr val="000000"/>
              </a:solidFill>
              <a:latin typeface="Aptos Narrow"/>
            </a:rPr>
            <a:pPr algn="ctr"/>
            <a:t>4.96</a:t>
          </a:fld>
          <a:endParaRPr lang="en-IN" sz="1100"/>
        </a:p>
      </xdr:txBody>
    </xdr:sp>
    <xdr:clientData/>
  </xdr:twoCellAnchor>
  <xdr:twoCellAnchor editAs="absolute">
    <xdr:from>
      <xdr:col>5</xdr:col>
      <xdr:colOff>157018</xdr:colOff>
      <xdr:row>4</xdr:row>
      <xdr:rowOff>115455</xdr:rowOff>
    </xdr:from>
    <xdr:to>
      <xdr:col>7</xdr:col>
      <xdr:colOff>46181</xdr:colOff>
      <xdr:row>5</xdr:row>
      <xdr:rowOff>83128</xdr:rowOff>
    </xdr:to>
    <xdr:sp macro="" textlink="">
      <xdr:nvSpPr>
        <xdr:cNvPr id="42" name="TextBox 41">
          <a:extLst>
            <a:ext uri="{FF2B5EF4-FFF2-40B4-BE49-F238E27FC236}">
              <a16:creationId xmlns:a16="http://schemas.microsoft.com/office/drawing/2014/main" id="{DD4A457A-1370-954B-B024-43C40CAB1698}"/>
            </a:ext>
          </a:extLst>
        </xdr:cNvPr>
        <xdr:cNvSpPr txBox="1"/>
      </xdr:nvSpPr>
      <xdr:spPr>
        <a:xfrm>
          <a:off x="3205018" y="854364"/>
          <a:ext cx="1108363"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Satisfaction Score</a:t>
          </a:r>
        </a:p>
      </xdr:txBody>
    </xdr:sp>
    <xdr:clientData/>
  </xdr:twoCellAnchor>
  <xdr:twoCellAnchor editAs="oneCell">
    <xdr:from>
      <xdr:col>2</xdr:col>
      <xdr:colOff>475673</xdr:colOff>
      <xdr:row>3</xdr:row>
      <xdr:rowOff>73893</xdr:rowOff>
    </xdr:from>
    <xdr:to>
      <xdr:col>3</xdr:col>
      <xdr:colOff>115455</xdr:colOff>
      <xdr:row>4</xdr:row>
      <xdr:rowOff>138548</xdr:rowOff>
    </xdr:to>
    <xdr:pic>
      <xdr:nvPicPr>
        <xdr:cNvPr id="44" name="Graphic 43" descr="Male profile with solid fill">
          <a:extLst>
            <a:ext uri="{FF2B5EF4-FFF2-40B4-BE49-F238E27FC236}">
              <a16:creationId xmlns:a16="http://schemas.microsoft.com/office/drawing/2014/main" id="{E032002F-F21B-DB6D-66CD-32DD84B013D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94873" y="628075"/>
          <a:ext cx="249382" cy="249382"/>
        </a:xfrm>
        <a:prstGeom prst="rect">
          <a:avLst/>
        </a:prstGeom>
      </xdr:spPr>
    </xdr:pic>
    <xdr:clientData/>
  </xdr:twoCellAnchor>
  <xdr:twoCellAnchor editAs="oneCell">
    <xdr:from>
      <xdr:col>4</xdr:col>
      <xdr:colOff>480292</xdr:colOff>
      <xdr:row>3</xdr:row>
      <xdr:rowOff>73891</xdr:rowOff>
    </xdr:from>
    <xdr:to>
      <xdr:col>5</xdr:col>
      <xdr:colOff>78510</xdr:colOff>
      <xdr:row>4</xdr:row>
      <xdr:rowOff>96982</xdr:rowOff>
    </xdr:to>
    <xdr:pic>
      <xdr:nvPicPr>
        <xdr:cNvPr id="48" name="Graphic 47" descr="Hourglass Finished with solid fill">
          <a:extLst>
            <a:ext uri="{FF2B5EF4-FFF2-40B4-BE49-F238E27FC236}">
              <a16:creationId xmlns:a16="http://schemas.microsoft.com/office/drawing/2014/main" id="{47B729D8-7032-BCA2-2499-5D147A2082A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8692" y="628073"/>
          <a:ext cx="207818" cy="207818"/>
        </a:xfrm>
        <a:prstGeom prst="rect">
          <a:avLst/>
        </a:prstGeom>
      </xdr:spPr>
    </xdr:pic>
    <xdr:clientData/>
  </xdr:twoCellAnchor>
  <xdr:twoCellAnchor editAs="oneCell">
    <xdr:from>
      <xdr:col>6</xdr:col>
      <xdr:colOff>420255</xdr:colOff>
      <xdr:row>3</xdr:row>
      <xdr:rowOff>64654</xdr:rowOff>
    </xdr:from>
    <xdr:to>
      <xdr:col>7</xdr:col>
      <xdr:colOff>50801</xdr:colOff>
      <xdr:row>4</xdr:row>
      <xdr:rowOff>120073</xdr:rowOff>
    </xdr:to>
    <xdr:pic>
      <xdr:nvPicPr>
        <xdr:cNvPr id="50" name="Graphic 49" descr="Stars with solid fill">
          <a:extLst>
            <a:ext uri="{FF2B5EF4-FFF2-40B4-BE49-F238E27FC236}">
              <a16:creationId xmlns:a16="http://schemas.microsoft.com/office/drawing/2014/main" id="{1C4AD72A-69A4-32B4-C175-F69BA750E33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77855" y="618836"/>
          <a:ext cx="240146" cy="240146"/>
        </a:xfrm>
        <a:prstGeom prst="rect">
          <a:avLst/>
        </a:prstGeom>
      </xdr:spPr>
    </xdr:pic>
    <xdr:clientData/>
  </xdr:twoCellAnchor>
  <xdr:twoCellAnchor editAs="oneCell">
    <xdr:from>
      <xdr:col>0</xdr:col>
      <xdr:colOff>69272</xdr:colOff>
      <xdr:row>3</xdr:row>
      <xdr:rowOff>96982</xdr:rowOff>
    </xdr:from>
    <xdr:to>
      <xdr:col>1</xdr:col>
      <xdr:colOff>143163</xdr:colOff>
      <xdr:row>15</xdr:row>
      <xdr:rowOff>101600</xdr:rowOff>
    </xdr:to>
    <mc:AlternateContent xmlns:mc="http://schemas.openxmlformats.org/markup-compatibility/2006" xmlns:a14="http://schemas.microsoft.com/office/drawing/2010/main">
      <mc:Choice Requires="a14">
        <xdr:graphicFrame macro="">
          <xdr:nvGraphicFramePr>
            <xdr:cNvPr id="52" name="Date (Month) 1">
              <a:extLst>
                <a:ext uri="{FF2B5EF4-FFF2-40B4-BE49-F238E27FC236}">
                  <a16:creationId xmlns:a16="http://schemas.microsoft.com/office/drawing/2014/main" id="{338E2B6B-8700-48FA-B39C-0D2535A155F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9272" y="651164"/>
              <a:ext cx="683491" cy="2221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198582</xdr:colOff>
      <xdr:row>5</xdr:row>
      <xdr:rowOff>46182</xdr:rowOff>
    </xdr:from>
    <xdr:to>
      <xdr:col>3</xdr:col>
      <xdr:colOff>115454</xdr:colOff>
      <xdr:row>7</xdr:row>
      <xdr:rowOff>106219</xdr:rowOff>
    </xdr:to>
    <xdr:graphicFrame macro="">
      <xdr:nvGraphicFramePr>
        <xdr:cNvPr id="53" name="Chart 52">
          <a:hlinkClick xmlns:r="http://schemas.openxmlformats.org/officeDocument/2006/relationships" r:id="rId8"/>
          <a:extLst>
            <a:ext uri="{FF2B5EF4-FFF2-40B4-BE49-F238E27FC236}">
              <a16:creationId xmlns:a16="http://schemas.microsoft.com/office/drawing/2014/main" id="{AB8B029D-F401-4A37-B697-FCED172CC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166254</xdr:colOff>
      <xdr:row>5</xdr:row>
      <xdr:rowOff>64655</xdr:rowOff>
    </xdr:from>
    <xdr:to>
      <xdr:col>5</xdr:col>
      <xdr:colOff>87745</xdr:colOff>
      <xdr:row>7</xdr:row>
      <xdr:rowOff>87745</xdr:rowOff>
    </xdr:to>
    <xdr:graphicFrame macro="">
      <xdr:nvGraphicFramePr>
        <xdr:cNvPr id="55" name="Chart 54">
          <a:hlinkClick xmlns:r="http://schemas.openxmlformats.org/officeDocument/2006/relationships" r:id="rId10"/>
          <a:extLst>
            <a:ext uri="{FF2B5EF4-FFF2-40B4-BE49-F238E27FC236}">
              <a16:creationId xmlns:a16="http://schemas.microsoft.com/office/drawing/2014/main" id="{7C9EDA30-5BA8-411A-A5F5-BB4638D4E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147781</xdr:colOff>
      <xdr:row>5</xdr:row>
      <xdr:rowOff>41564</xdr:rowOff>
    </xdr:from>
    <xdr:to>
      <xdr:col>7</xdr:col>
      <xdr:colOff>55418</xdr:colOff>
      <xdr:row>7</xdr:row>
      <xdr:rowOff>78509</xdr:rowOff>
    </xdr:to>
    <xdr:graphicFrame macro="">
      <xdr:nvGraphicFramePr>
        <xdr:cNvPr id="56" name="Chart 55">
          <a:hlinkClick xmlns:r="http://schemas.openxmlformats.org/officeDocument/2006/relationships" r:id="rId12"/>
          <a:extLst>
            <a:ext uri="{FF2B5EF4-FFF2-40B4-BE49-F238E27FC236}">
              <a16:creationId xmlns:a16="http://schemas.microsoft.com/office/drawing/2014/main" id="{9C0FFC1F-C2F7-4BA4-9FA3-2E5E091BF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226291</xdr:colOff>
          <xdr:row>7</xdr:row>
          <xdr:rowOff>138545</xdr:rowOff>
        </xdr:from>
        <xdr:to>
          <xdr:col>7</xdr:col>
          <xdr:colOff>41564</xdr:colOff>
          <xdr:row>9</xdr:row>
          <xdr:rowOff>152400</xdr:rowOff>
        </xdr:to>
        <xdr:pic>
          <xdr:nvPicPr>
            <xdr:cNvPr id="69" name="Picture 68">
              <a:extLst>
                <a:ext uri="{FF2B5EF4-FFF2-40B4-BE49-F238E27FC236}">
                  <a16:creationId xmlns:a16="http://schemas.microsoft.com/office/drawing/2014/main" id="{D339DBC5-6C0B-F15C-7B9A-4508EE674FB8}"/>
                </a:ext>
              </a:extLst>
            </xdr:cNvPr>
            <xdr:cNvPicPr>
              <a:picLocks noChangeAspect="1" noChangeArrowheads="1"/>
              <a:extLst>
                <a:ext uri="{84589F7E-364E-4C9E-8A38-B11213B215E9}">
                  <a14:cameraTool cellRange="'Pivot Report'!$A$49:$E$51" spid="_x0000_s2073"/>
                </a:ext>
              </a:extLst>
            </xdr:cNvPicPr>
          </xdr:nvPicPr>
          <xdr:blipFill>
            <a:blip xmlns:r="http://schemas.openxmlformats.org/officeDocument/2006/relationships" r:embed="rId14"/>
            <a:srcRect/>
            <a:stretch>
              <a:fillRect/>
            </a:stretch>
          </xdr:blipFill>
          <xdr:spPr bwMode="auto">
            <a:xfrm>
              <a:off x="835891" y="1431636"/>
              <a:ext cx="3472873" cy="38330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300181</xdr:colOff>
      <xdr:row>10</xdr:row>
      <xdr:rowOff>18471</xdr:rowOff>
    </xdr:from>
    <xdr:to>
      <xdr:col>6</xdr:col>
      <xdr:colOff>521854</xdr:colOff>
      <xdr:row>15</xdr:row>
      <xdr:rowOff>36943</xdr:rowOff>
    </xdr:to>
    <xdr:graphicFrame macro="">
      <xdr:nvGraphicFramePr>
        <xdr:cNvPr id="70" name="Chart 69">
          <a:extLst>
            <a:ext uri="{FF2B5EF4-FFF2-40B4-BE49-F238E27FC236}">
              <a16:creationId xmlns:a16="http://schemas.microsoft.com/office/drawing/2014/main" id="{F814C72D-C372-4C02-99B6-DD46EBD4C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193963</xdr:colOff>
      <xdr:row>14</xdr:row>
      <xdr:rowOff>138546</xdr:rowOff>
    </xdr:from>
    <xdr:to>
      <xdr:col>5</xdr:col>
      <xdr:colOff>83126</xdr:colOff>
      <xdr:row>15</xdr:row>
      <xdr:rowOff>106219</xdr:rowOff>
    </xdr:to>
    <xdr:sp macro="" textlink="">
      <xdr:nvSpPr>
        <xdr:cNvPr id="73" name="TextBox 72">
          <a:extLst>
            <a:ext uri="{FF2B5EF4-FFF2-40B4-BE49-F238E27FC236}">
              <a16:creationId xmlns:a16="http://schemas.microsoft.com/office/drawing/2014/main" id="{7C615740-75D0-46A3-86AA-E9640B017420}"/>
            </a:ext>
          </a:extLst>
        </xdr:cNvPr>
        <xdr:cNvSpPr txBox="1"/>
      </xdr:nvSpPr>
      <xdr:spPr>
        <a:xfrm>
          <a:off x="2022763" y="2724728"/>
          <a:ext cx="1108363"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Pateint Age Group</a:t>
          </a:r>
          <a:endParaRPr lang="en-IN" sz="800"/>
        </a:p>
      </xdr:txBody>
    </xdr:sp>
    <xdr:clientData/>
  </xdr:twoCellAnchor>
  <xdr:twoCellAnchor>
    <xdr:from>
      <xdr:col>7</xdr:col>
      <xdr:colOff>147780</xdr:colOff>
      <xdr:row>0</xdr:row>
      <xdr:rowOff>101601</xdr:rowOff>
    </xdr:from>
    <xdr:to>
      <xdr:col>9</xdr:col>
      <xdr:colOff>170873</xdr:colOff>
      <xdr:row>6</xdr:row>
      <xdr:rowOff>129308</xdr:rowOff>
    </xdr:to>
    <xdr:graphicFrame macro="">
      <xdr:nvGraphicFramePr>
        <xdr:cNvPr id="74" name="Chart 73">
          <a:extLst>
            <a:ext uri="{FF2B5EF4-FFF2-40B4-BE49-F238E27FC236}">
              <a16:creationId xmlns:a16="http://schemas.microsoft.com/office/drawing/2014/main" id="{A000C7C3-F996-4C16-9D52-B1F81ABA4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226291</xdr:colOff>
      <xdr:row>6</xdr:row>
      <xdr:rowOff>36945</xdr:rowOff>
    </xdr:from>
    <xdr:to>
      <xdr:col>9</xdr:col>
      <xdr:colOff>115454</xdr:colOff>
      <xdr:row>6</xdr:row>
      <xdr:rowOff>170873</xdr:rowOff>
    </xdr:to>
    <xdr:sp macro="" textlink="">
      <xdr:nvSpPr>
        <xdr:cNvPr id="80" name="TextBox 79">
          <a:extLst>
            <a:ext uri="{FF2B5EF4-FFF2-40B4-BE49-F238E27FC236}">
              <a16:creationId xmlns:a16="http://schemas.microsoft.com/office/drawing/2014/main" id="{A2373426-1C39-4591-9397-15F51D075B85}"/>
            </a:ext>
          </a:extLst>
        </xdr:cNvPr>
        <xdr:cNvSpPr txBox="1"/>
      </xdr:nvSpPr>
      <xdr:spPr>
        <a:xfrm>
          <a:off x="4493491" y="1145309"/>
          <a:ext cx="1108363" cy="133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Attend Status</a:t>
          </a:r>
          <a:endParaRPr lang="en-IN" sz="800"/>
        </a:p>
      </xdr:txBody>
    </xdr:sp>
    <xdr:clientData/>
  </xdr:twoCellAnchor>
  <xdr:twoCellAnchor>
    <xdr:from>
      <xdr:col>9</xdr:col>
      <xdr:colOff>318655</xdr:colOff>
      <xdr:row>0</xdr:row>
      <xdr:rowOff>87744</xdr:rowOff>
    </xdr:from>
    <xdr:to>
      <xdr:col>11</xdr:col>
      <xdr:colOff>392545</xdr:colOff>
      <xdr:row>6</xdr:row>
      <xdr:rowOff>157017</xdr:rowOff>
    </xdr:to>
    <xdr:graphicFrame macro="">
      <xdr:nvGraphicFramePr>
        <xdr:cNvPr id="81" name="Chart 80">
          <a:extLst>
            <a:ext uri="{FF2B5EF4-FFF2-40B4-BE49-F238E27FC236}">
              <a16:creationId xmlns:a16="http://schemas.microsoft.com/office/drawing/2014/main" id="{AD1C9DD9-2F69-44B5-8275-33CB41BEF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424873</xdr:colOff>
      <xdr:row>6</xdr:row>
      <xdr:rowOff>46181</xdr:rowOff>
    </xdr:from>
    <xdr:to>
      <xdr:col>11</xdr:col>
      <xdr:colOff>314036</xdr:colOff>
      <xdr:row>6</xdr:row>
      <xdr:rowOff>180109</xdr:rowOff>
    </xdr:to>
    <xdr:sp macro="" textlink="">
      <xdr:nvSpPr>
        <xdr:cNvPr id="88" name="TextBox 87">
          <a:extLst>
            <a:ext uri="{FF2B5EF4-FFF2-40B4-BE49-F238E27FC236}">
              <a16:creationId xmlns:a16="http://schemas.microsoft.com/office/drawing/2014/main" id="{2C23D40F-70D4-4BBB-8D07-A78E33A611FB}"/>
            </a:ext>
          </a:extLst>
        </xdr:cNvPr>
        <xdr:cNvSpPr txBox="1"/>
      </xdr:nvSpPr>
      <xdr:spPr>
        <a:xfrm>
          <a:off x="5911273" y="1154545"/>
          <a:ext cx="1108363" cy="133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Gender</a:t>
          </a:r>
          <a:r>
            <a:rPr lang="en-IN" sz="800" baseline="0"/>
            <a:t> Wise Analysis</a:t>
          </a:r>
          <a:endParaRPr lang="en-IN" sz="800"/>
        </a:p>
      </xdr:txBody>
    </xdr:sp>
    <xdr:clientData/>
  </xdr:twoCellAnchor>
  <xdr:twoCellAnchor>
    <xdr:from>
      <xdr:col>7</xdr:col>
      <xdr:colOff>170873</xdr:colOff>
      <xdr:row>7</xdr:row>
      <xdr:rowOff>73891</xdr:rowOff>
    </xdr:from>
    <xdr:to>
      <xdr:col>11</xdr:col>
      <xdr:colOff>369455</xdr:colOff>
      <xdr:row>15</xdr:row>
      <xdr:rowOff>9236</xdr:rowOff>
    </xdr:to>
    <xdr:graphicFrame macro="">
      <xdr:nvGraphicFramePr>
        <xdr:cNvPr id="89" name="Chart 88">
          <a:extLst>
            <a:ext uri="{FF2B5EF4-FFF2-40B4-BE49-F238E27FC236}">
              <a16:creationId xmlns:a16="http://schemas.microsoft.com/office/drawing/2014/main" id="{49DE44B9-76D0-46DF-9166-1B82E9803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355599</xdr:colOff>
      <xdr:row>14</xdr:row>
      <xdr:rowOff>124691</xdr:rowOff>
    </xdr:from>
    <xdr:to>
      <xdr:col>11</xdr:col>
      <xdr:colOff>64654</xdr:colOff>
      <xdr:row>15</xdr:row>
      <xdr:rowOff>96983</xdr:rowOff>
    </xdr:to>
    <xdr:sp macro="" textlink="">
      <xdr:nvSpPr>
        <xdr:cNvPr id="90" name="TextBox 89">
          <a:extLst>
            <a:ext uri="{FF2B5EF4-FFF2-40B4-BE49-F238E27FC236}">
              <a16:creationId xmlns:a16="http://schemas.microsoft.com/office/drawing/2014/main" id="{8423A952-3AAD-4461-A9E0-CA635426DE43}"/>
            </a:ext>
          </a:extLst>
        </xdr:cNvPr>
        <xdr:cNvSpPr txBox="1"/>
      </xdr:nvSpPr>
      <xdr:spPr>
        <a:xfrm>
          <a:off x="4622799" y="2710873"/>
          <a:ext cx="2147455" cy="157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 of Patient</a:t>
          </a:r>
          <a:r>
            <a:rPr lang="en-IN" sz="800" baseline="0"/>
            <a:t> by Department Referal</a:t>
          </a:r>
          <a:endParaRPr lang="en-IN" sz="800"/>
        </a:p>
      </xdr:txBody>
    </xdr:sp>
    <xdr:clientData/>
  </xdr:twoCellAnchor>
  <xdr:twoCellAnchor editAs="oneCell">
    <xdr:from>
      <xdr:col>5</xdr:col>
      <xdr:colOff>323273</xdr:colOff>
      <xdr:row>0</xdr:row>
      <xdr:rowOff>83128</xdr:rowOff>
    </xdr:from>
    <xdr:to>
      <xdr:col>7</xdr:col>
      <xdr:colOff>18473</xdr:colOff>
      <xdr:row>2</xdr:row>
      <xdr:rowOff>170873</xdr:rowOff>
    </xdr:to>
    <mc:AlternateContent xmlns:mc="http://schemas.openxmlformats.org/markup-compatibility/2006" xmlns:a14="http://schemas.microsoft.com/office/drawing/2010/main">
      <mc:Choice Requires="a14">
        <xdr:graphicFrame macro="">
          <xdr:nvGraphicFramePr>
            <xdr:cNvPr id="91" name="Date (Year) 1">
              <a:extLst>
                <a:ext uri="{FF2B5EF4-FFF2-40B4-BE49-F238E27FC236}">
                  <a16:creationId xmlns:a16="http://schemas.microsoft.com/office/drawing/2014/main" id="{D229A35E-8388-4E4A-9854-36899B8CC0F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71273" y="83128"/>
              <a:ext cx="914400"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1</xdr:row>
      <xdr:rowOff>15240</xdr:rowOff>
    </xdr:from>
    <xdr:to>
      <xdr:col>9</xdr:col>
      <xdr:colOff>492760</xdr:colOff>
      <xdr:row>13</xdr:row>
      <xdr:rowOff>162560</xdr:rowOff>
    </xdr:to>
    <xdr:graphicFrame macro="">
      <xdr:nvGraphicFramePr>
        <xdr:cNvPr id="2" name="Chart 1">
          <a:extLst>
            <a:ext uri="{FF2B5EF4-FFF2-40B4-BE49-F238E27FC236}">
              <a16:creationId xmlns:a16="http://schemas.microsoft.com/office/drawing/2014/main" id="{4EC8605B-4975-4157-A2F9-33C635D6D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127000</xdr:colOff>
      <xdr:row>1</xdr:row>
      <xdr:rowOff>25400</xdr:rowOff>
    </xdr:from>
    <xdr:to>
      <xdr:col>0</xdr:col>
      <xdr:colOff>355600</xdr:colOff>
      <xdr:row>2</xdr:row>
      <xdr:rowOff>71120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949AE19-F85B-4766-FBF5-26BEAB1C74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000" y="208280"/>
          <a:ext cx="228600" cy="228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106680</xdr:colOff>
      <xdr:row>1</xdr:row>
      <xdr:rowOff>91440</xdr:rowOff>
    </xdr:from>
    <xdr:to>
      <xdr:col>17</xdr:col>
      <xdr:colOff>335280</xdr:colOff>
      <xdr:row>19</xdr:row>
      <xdr:rowOff>91440</xdr:rowOff>
    </xdr:to>
    <xdr:graphicFrame macro="">
      <xdr:nvGraphicFramePr>
        <xdr:cNvPr id="2" name="Chart 1">
          <a:extLst>
            <a:ext uri="{FF2B5EF4-FFF2-40B4-BE49-F238E27FC236}">
              <a16:creationId xmlns:a16="http://schemas.microsoft.com/office/drawing/2014/main" id="{B23F2122-08BA-457D-9B64-23F275F0A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0.00264</cdr:x>
      <cdr:y>0.00849</cdr:y>
    </cdr:from>
    <cdr:to>
      <cdr:x>0.03094</cdr:x>
      <cdr:y>0.09954</cdr:y>
    </cdr:to>
    <cdr:pic>
      <cdr:nvPicPr>
        <cdr:cNvPr id="3"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949AE19-F85B-4766-FBF5-26BEAB1C74F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7940" y="27940"/>
          <a:ext cx="299720" cy="2997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190500</xdr:colOff>
      <xdr:row>1</xdr:row>
      <xdr:rowOff>7620</xdr:rowOff>
    </xdr:from>
    <xdr:to>
      <xdr:col>18</xdr:col>
      <xdr:colOff>259080</xdr:colOff>
      <xdr:row>16</xdr:row>
      <xdr:rowOff>121920</xdr:rowOff>
    </xdr:to>
    <xdr:graphicFrame macro="">
      <xdr:nvGraphicFramePr>
        <xdr:cNvPr id="2" name="Chart 1">
          <a:extLst>
            <a:ext uri="{FF2B5EF4-FFF2-40B4-BE49-F238E27FC236}">
              <a16:creationId xmlns:a16="http://schemas.microsoft.com/office/drawing/2014/main" id="{AE86E0E2-378E-4B35-9354-E6B945375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0.0046</cdr:x>
      <cdr:y>0.01778</cdr:y>
    </cdr:from>
    <cdr:to>
      <cdr:x>0.03175</cdr:x>
      <cdr:y>0.12267</cdr:y>
    </cdr:to>
    <cdr:pic>
      <cdr:nvPicPr>
        <cdr:cNvPr id="3"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53FDF14-F285-8261-CBD1-962F56FBD55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299720" cy="29972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3</xdr:col>
      <xdr:colOff>38100</xdr:colOff>
      <xdr:row>48</xdr:row>
      <xdr:rowOff>91440</xdr:rowOff>
    </xdr:from>
    <xdr:to>
      <xdr:col>5</xdr:col>
      <xdr:colOff>0</xdr:colOff>
      <xdr:row>51</xdr:row>
      <xdr:rowOff>38100</xdr:rowOff>
    </xdr:to>
    <xdr:graphicFrame macro="">
      <xdr:nvGraphicFramePr>
        <xdr:cNvPr id="10" name="Chart 9">
          <a:extLst>
            <a:ext uri="{FF2B5EF4-FFF2-40B4-BE49-F238E27FC236}">
              <a16:creationId xmlns:a16="http://schemas.microsoft.com/office/drawing/2014/main" id="{DB863295-8107-4096-CDBB-95F60C17A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18055558" createdVersion="5" refreshedVersion="8" minRefreshableVersion="3" recordCount="0" supportSubquery="1" supportAdvancedDrill="1" xr:uid="{7529CD68-96B3-4A50-B87A-08FC31E3D3AF}">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18634259" createdVersion="5" refreshedVersion="8" minRefreshableVersion="3" recordCount="0" supportSubquery="1" supportAdvancedDrill="1" xr:uid="{1ADA6798-7AB8-4FD4-8044-5015ED3F65E2}">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19328705" createdVersion="5" refreshedVersion="8" minRefreshableVersion="3" recordCount="0" supportSubquery="1" supportAdvancedDrill="1" xr:uid="{A056A1F6-5827-4494-A6A2-115CB4472236}">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20370368" createdVersion="5" refreshedVersion="8" minRefreshableVersion="3" recordCount="0" supportSubquery="1" supportAdvancedDrill="1" xr:uid="{E710176A-F5CD-4B4E-96CC-6035EFFCD056}">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21064814" createdVersion="5" refreshedVersion="8" minRefreshableVersion="3" recordCount="0" supportSubquery="1" supportAdvancedDrill="1" xr:uid="{9B011DD0-3A67-44F7-AE66-575CB1E2CF1E}">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21759261" createdVersion="5" refreshedVersion="8" minRefreshableVersion="3" recordCount="0" supportSubquery="1" supportAdvancedDrill="1" xr:uid="{BD4E2219-20F2-4BA7-934D-0C11F9EC2739}">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23032408" createdVersion="5" refreshedVersion="8" minRefreshableVersion="3" recordCount="0" supportSubquery="1" supportAdvancedDrill="1" xr:uid="{D9BFACBF-759B-48E1-852C-7FFD60D3306F}">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24305555" createdVersion="5" refreshedVersion="8" minRefreshableVersion="3" recordCount="0" supportSubquery="1" supportAdvancedDrill="1" xr:uid="{C03DBF6A-C09D-486D-A81E-5DE7A3A0378C}">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25462963" createdVersion="5" refreshedVersion="8" minRefreshableVersion="3" recordCount="0" supportSubquery="1" supportAdvancedDrill="1" xr:uid="{76B209BA-2125-4D90-8136-C0291C1D2393}">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26273149" createdVersion="5" refreshedVersion="8" minRefreshableVersion="3" recordCount="0" supportSubquery="1" supportAdvancedDrill="1" xr:uid="{41BDE371-DCCA-4E9F-AA5E-28A1C24ABF9C}">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27083334" createdVersion="5" refreshedVersion="8" minRefreshableVersion="3" recordCount="0" supportSubquery="1" supportAdvancedDrill="1" xr:uid="{D16EAB62-A1EE-4967-B789-365299B0CD69}">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15.922828356481" createdVersion="5" refreshedVersion="8" minRefreshableVersion="3" recordCount="0" supportSubquery="1" supportAdvancedDrill="1" xr:uid="{09D6488B-2A09-49CA-8531-645D620F89CC}">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Tiwari" refreshedDate="46206.740924074074" createdVersion="3" refreshedVersion="8" minRefreshableVersion="3" recordCount="0" supportSubquery="1" supportAdvancedDrill="1" xr:uid="{6974D54E-7A3A-45BA-9BE6-ABB5AA2B16B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022676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25FD5F-4FC7-45CA-BF36-E233BB95B4CC}" name="PivotTable10" cacheId="2" applyNumberFormats="0" applyBorderFormats="0" applyFontFormats="0" applyPatternFormats="0" applyAlignmentFormats="0" applyWidthHeightFormats="1" dataCaption="Values" tag="3fbcd58b-3d39-4924-b103-b155d5994e0f" updatedVersion="8" minRefreshableVersion="3" subtotalHiddenItems="1" itemPrintTitles="1" createdVersion="5" indent="0" outline="1" outlineData="1" multipleFieldFilters="0" chartFormat="18">
  <location ref="D56:E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5">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C3F8F0-1DA2-4295-8C11-0CFF57885DB5}" name="PivotTable3" cacheId="5" applyNumberFormats="0" applyBorderFormats="0" applyFontFormats="0" applyPatternFormats="0" applyAlignmentFormats="0" applyWidthHeightFormats="1" dataCaption="Values" tag="b4af3f71-d850-4dfc-af2a-eb1d78b65d36"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379C75-51CF-4424-B3AA-E70FA71CC7CE}" name="PivotTable5" cacheId="7" applyNumberFormats="0" applyBorderFormats="0" applyFontFormats="0" applyPatternFormats="0" applyAlignmentFormats="0" applyWidthHeightFormats="1" dataCaption="Values" tag="ffc2a0bf-9c2f-4721-93e4-3a3c4695800d" updatedVersion="8" minRefreshableVersion="3" subtotalHiddenItems="1" itemPrintTitles="1" createdVersion="5" indent="0" outline="1" outlineData="1" multipleFieldFilters="0" chartFormat="19">
  <location ref="F5:G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7">
      <pivotArea collapsedLevelsAreSubtotals="1" fieldPosition="0">
        <references count="1">
          <reference field="0" count="0"/>
        </references>
      </pivotArea>
    </format>
  </formats>
  <chartFormats count="2">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EA1C43-7C13-4DA5-BD4C-C88B6FCC9E1F}" name="PivotTable8" cacheId="10" applyNumberFormats="0" applyBorderFormats="0" applyFontFormats="0" applyPatternFormats="0" applyAlignmentFormats="0" applyWidthHeightFormats="1" dataCaption="Values" tag="adad044f-2c56-4325-ab68-4bfbe2e0a032" updatedVersion="8" minRefreshableVersion="3" subtotalHiddenItems="1" itemPrintTitles="1" createdVersion="5" indent="0" outline="1" outlineData="1" multipleFieldFilters="0" chartFormat="8">
  <location ref="A55:B6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9">
      <pivotArea outline="0" collapsedLevelsAreSubtotals="1" fieldPosition="0"/>
    </format>
    <format dxfId="8">
      <pivotArea collapsedLevelsAreSubtotals="1" fieldPosition="0">
        <references count="1">
          <reference field="2"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218BBD-DBD7-459B-8E03-8C9C66ADF456}" name="PivotTable9" cacheId="11" applyNumberFormats="0" applyBorderFormats="0" applyFontFormats="0" applyPatternFormats="0" applyAlignmentFormats="0" applyWidthHeightFormats="1" dataCaption="Values" tag="11433f61-7b4e-4db2-9341-ac48eb239c54" updatedVersion="8" minRefreshableVersion="3" subtotalHiddenItems="1" itemPrintTitles="1" createdVersion="5" indent="0" outline="1" outlineData="1" multipleFieldFilters="0" chartFormat="11">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0">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5755DA-C249-491F-A6DE-816B77E0627E}" name="PivotTable12" cacheId="0" applyNumberFormats="0" applyBorderFormats="0" applyFontFormats="0" applyPatternFormats="0" applyAlignmentFormats="0" applyWidthHeightFormats="1" dataCaption="Values" tag="9c6c7d24-bc88-433f-b943-c4e84e6db19f" updatedVersion="8" minRefreshableVersion="3" subtotalHiddenItems="1" itemPrintTitles="1" createdVersion="5" indent="0" outline="1" outlineData="1" multipleFieldFilters="0" chartFormat="11">
  <location ref="E65:E67"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formats count="1">
    <format dxfId="11">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3DE721-B9DA-41C9-B022-CC049014092E}" name="PivotTable11" cacheId="3" applyNumberFormats="0" applyBorderFormats="0" applyFontFormats="0" applyPatternFormats="0" applyAlignmentFormats="0" applyWidthHeightFormats="1" dataCaption="Values" tag="9e516cfb-cca1-41ec-8a73-b8afbc273244" updatedVersion="8" minRefreshableVersion="3" subtotalHiddenItems="1" itemPrintTitles="1" createdVersion="5" indent="0" outline="1" outlineData="1" multipleFieldFilters="0" chartFormat="15">
  <location ref="A75:B8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13">
      <pivotArea outline="0" collapsedLevelsAreSubtotals="1" fieldPosition="0"/>
    </format>
    <format dxfId="12">
      <pivotArea collapsedLevelsAreSubtotals="1" fieldPosition="0">
        <references count="1">
          <reference field="1" count="0"/>
        </references>
      </pivotArea>
    </format>
  </formats>
  <chartFormats count="1">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46AAC4-1AAC-44BA-9AFD-36F96713560C}" name="PivotTable2" cacheId="4" applyNumberFormats="0" applyBorderFormats="0" applyFontFormats="0" applyPatternFormats="0" applyAlignmentFormats="0" applyWidthHeightFormats="1" dataCaption="Values" tag="ba2d6ac6-c3d4-4f1d-86c0-52f05b9c3439"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9B1649-AAFE-4A54-84A2-B11B7B9375EC}" name="PivotTable4" cacheId="6" applyNumberFormats="0" applyBorderFormats="0" applyFontFormats="0" applyPatternFormats="0" applyAlignmentFormats="0" applyWidthHeightFormats="1" dataCaption="Values" tag="293f1f31-ffc2-47b3-870f-7bb1af06e9f3" updatedVersion="8" minRefreshableVersion="3" subtotalHiddenItems="1" itemPrintTitles="1" createdVersion="5" indent="0" outline="1" outlineData="1" multipleFieldFilters="0" chartFormat="13">
  <location ref="C5:D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95A3C4-6B8A-45A5-BAC2-984A2EF10C3D}" name="PivotTable7" cacheId="9" applyNumberFormats="0" applyBorderFormats="0" applyFontFormats="0" applyPatternFormats="0" applyAlignmentFormats="0" applyWidthHeightFormats="1" dataCaption="Values" tag="d3b05598-1b1b-4ff0-98d2-436e454722df" updatedVersion="8" minRefreshableVersion="3" subtotalHiddenItems="1" itemPrintTitles="1" createdVersion="5" indent="0" outline="1" outlineData="1" multipleFieldFilters="0" chartFormat="5">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7">
      <pivotArea outline="0" collapsedLevelsAreSubtotals="1" fieldPosition="0"/>
    </format>
    <format dxfId="16">
      <pivotArea outline="0" fieldPosition="0">
        <references count="1">
          <reference field="4294967294" count="1">
            <x v="1"/>
          </reference>
        </references>
      </pivotArea>
    </format>
    <format dxfId="15">
      <pivotArea collapsedLevelsAreSubtotals="1" fieldPosition="0">
        <references count="2">
          <reference field="4294967294" count="1" selected="0">
            <x v="1"/>
          </reference>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95B1FE-ADCC-43F6-96D9-A5D33404EB1C}" name="PivotTable1" cacheId="1" applyNumberFormats="0" applyBorderFormats="0" applyFontFormats="0" applyPatternFormats="0" applyAlignmentFormats="0" applyWidthHeightFormats="1" dataCaption="Values" tag="aaf5db52-237b-4448-9c47-732c9f269511"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AD0EC8-4279-4E67-A3A3-3F35DD0DD251}" name="PivotTable6" cacheId="8" applyNumberFormats="0" applyBorderFormats="0" applyFontFormats="0" applyPatternFormats="0" applyAlignmentFormats="0" applyWidthHeightFormats="1" dataCaption="Values" tag="bf891370-7f99-47a3-91e6-bc37aca35ca3" updatedVersion="8" minRefreshableVersion="3" subtotalHiddenItems="1" itemPrintTitles="1" createdVersion="5" indent="0" outline="1" outlineData="1" multipleFieldFilters="0" chartFormat="25">
  <location ref="I5:J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8">
      <pivotArea collapsedLevelsAreSubtotals="1" fieldPosition="0">
        <references count="1">
          <reference field="0" count="0"/>
        </references>
      </pivotArea>
    </format>
  </formats>
  <chartFormats count="2">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466FA45-1061-4C2B-BF14-D9C7717663A4}"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00226767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3030B58-2954-4B2A-B3B0-69CDFA9635ED}"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02267679">
      <levels count="2">
        <level uniqueName="[Calender_Table].[Date (Year)].[(All)]" sourceCaption="(All)" count="0"/>
        <level uniqueName="[Calender_Table].[Date (Year)].[Date (Year)]" sourceCaption="Date (Year)" count="2">
          <ranges>
            <range startItem="0">
              <i n="[Calender_Table].[Date (Year)].&amp;[2024]" c="2024"/>
              <i n="[Calender_Table].[Date (Year)].&amp;[2023]" c="2023" nd="1"/>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FD45BAB9-EF8F-4EA9-9739-1FB50DDC2689}" cache="Slicer_Date__Month" caption="Date (Month)" showCaption="0" level="1" style="My Style" rowHeight="144000"/>
  <slicer name="Date (Year) 1" xr10:uid="{6526B339-5543-4AF1-B8E0-84673C1DA857}" cache="Slicer_Date__Year" caption="Date (Year)" columnCount="2" showCaption="0" level="1" style="My 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7.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53BD9-A816-497F-9B9A-0E609624DC59}">
  <dimension ref="A1:M19"/>
  <sheetViews>
    <sheetView zoomScale="190" zoomScaleNormal="190" workbookViewId="0">
      <selection activeCell="N6" sqref="N6"/>
    </sheetView>
  </sheetViews>
  <sheetFormatPr defaultRowHeight="14.4"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row r="19" spans="4:4" x14ac:dyDescent="0.3">
      <c r="D19" s="1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96FA1-431C-44AE-8612-A70ED09D9FD0}">
  <dimension ref="A1:J16"/>
  <sheetViews>
    <sheetView zoomScale="150" zoomScaleNormal="150" workbookViewId="0"/>
  </sheetViews>
  <sheetFormatPr defaultRowHeight="14.4" x14ac:dyDescent="0.3"/>
  <sheetData>
    <row r="1" spans="1:10" x14ac:dyDescent="0.3">
      <c r="A1" s="5"/>
      <c r="B1" s="5"/>
      <c r="C1" s="5"/>
      <c r="D1" s="5"/>
      <c r="E1" s="5"/>
      <c r="F1" s="5"/>
      <c r="G1" s="5"/>
      <c r="H1" s="5"/>
      <c r="I1" s="5"/>
      <c r="J1" s="5"/>
    </row>
    <row r="2" spans="1:10" x14ac:dyDescent="0.3">
      <c r="A2" s="5"/>
      <c r="B2" s="5"/>
      <c r="C2" s="5"/>
      <c r="D2" s="5"/>
      <c r="E2" s="5"/>
      <c r="F2" s="5"/>
      <c r="G2" s="5"/>
      <c r="H2" s="5"/>
      <c r="I2" s="5"/>
      <c r="J2" s="5"/>
    </row>
    <row r="3" spans="1:10" x14ac:dyDescent="0.3">
      <c r="A3" s="5"/>
      <c r="B3" s="5"/>
      <c r="C3" s="5"/>
      <c r="D3" s="5"/>
      <c r="E3" s="5"/>
      <c r="F3" s="5"/>
      <c r="G3" s="5"/>
      <c r="H3" s="5"/>
      <c r="I3" s="5"/>
      <c r="J3" s="5"/>
    </row>
    <row r="4" spans="1:10" x14ac:dyDescent="0.3">
      <c r="A4" s="5"/>
      <c r="B4" s="5"/>
      <c r="C4" s="5"/>
      <c r="D4" s="5"/>
      <c r="E4" s="5"/>
      <c r="F4" s="5"/>
      <c r="G4" s="5"/>
      <c r="H4" s="5"/>
      <c r="I4" s="5"/>
      <c r="J4" s="5"/>
    </row>
    <row r="5" spans="1:10" x14ac:dyDescent="0.3">
      <c r="A5" s="5"/>
      <c r="B5" s="5"/>
      <c r="C5" s="5"/>
      <c r="D5" s="5"/>
      <c r="E5" s="5"/>
      <c r="F5" s="5"/>
      <c r="G5" s="5"/>
      <c r="H5" s="5"/>
      <c r="I5" s="5"/>
      <c r="J5" s="5"/>
    </row>
    <row r="6" spans="1:10" x14ac:dyDescent="0.3">
      <c r="A6" s="5"/>
      <c r="B6" s="5"/>
      <c r="C6" s="5"/>
      <c r="D6" s="5"/>
      <c r="E6" s="5"/>
      <c r="F6" s="5"/>
      <c r="G6" s="5"/>
      <c r="H6" s="5"/>
      <c r="I6" s="5"/>
      <c r="J6" s="5"/>
    </row>
    <row r="7" spans="1:10" x14ac:dyDescent="0.3">
      <c r="A7" s="5"/>
      <c r="B7" s="5"/>
      <c r="C7" s="5"/>
      <c r="D7" s="5"/>
      <c r="E7" s="5"/>
      <c r="F7" s="5"/>
      <c r="G7" s="5"/>
      <c r="H7" s="5"/>
      <c r="I7" s="5"/>
      <c r="J7" s="5"/>
    </row>
    <row r="8" spans="1:10" x14ac:dyDescent="0.3">
      <c r="A8" s="5"/>
      <c r="B8" s="5"/>
      <c r="C8" s="5"/>
      <c r="D8" s="5"/>
      <c r="E8" s="5"/>
      <c r="F8" s="5"/>
      <c r="G8" s="5"/>
      <c r="H8" s="5"/>
      <c r="I8" s="5"/>
      <c r="J8" s="5"/>
    </row>
    <row r="9" spans="1:10" x14ac:dyDescent="0.3">
      <c r="A9" s="5"/>
      <c r="B9" s="5"/>
      <c r="C9" s="5"/>
      <c r="D9" s="5"/>
      <c r="E9" s="5"/>
      <c r="F9" s="5"/>
      <c r="G9" s="5"/>
      <c r="H9" s="5"/>
      <c r="I9" s="5"/>
      <c r="J9" s="5"/>
    </row>
    <row r="10" spans="1:10" x14ac:dyDescent="0.3">
      <c r="A10" s="5"/>
      <c r="B10" s="5"/>
      <c r="C10" s="5"/>
      <c r="D10" s="5"/>
      <c r="E10" s="5"/>
      <c r="F10" s="5"/>
      <c r="G10" s="5"/>
      <c r="H10" s="5"/>
      <c r="I10" s="5"/>
      <c r="J10" s="5"/>
    </row>
    <row r="11" spans="1:10" x14ac:dyDescent="0.3">
      <c r="A11" s="5"/>
      <c r="B11" s="5"/>
      <c r="C11" s="5"/>
      <c r="D11" s="5"/>
      <c r="E11" s="5"/>
      <c r="F11" s="5"/>
      <c r="G11" s="5"/>
      <c r="H11" s="5"/>
      <c r="I11" s="5"/>
      <c r="J11" s="5"/>
    </row>
    <row r="12" spans="1:10" x14ac:dyDescent="0.3">
      <c r="A12" s="5"/>
      <c r="B12" s="5"/>
      <c r="C12" s="5"/>
      <c r="D12" s="5"/>
      <c r="E12" s="5"/>
      <c r="F12" s="5"/>
      <c r="G12" s="5"/>
      <c r="H12" s="5"/>
      <c r="I12" s="5"/>
      <c r="J12" s="5"/>
    </row>
    <row r="13" spans="1:10" x14ac:dyDescent="0.3">
      <c r="A13" s="5"/>
      <c r="B13" s="5"/>
      <c r="C13" s="5"/>
      <c r="D13" s="5"/>
      <c r="E13" s="5"/>
      <c r="F13" s="5"/>
      <c r="G13" s="5"/>
      <c r="H13" s="5"/>
      <c r="I13" s="5"/>
      <c r="J13" s="5"/>
    </row>
    <row r="14" spans="1:10" x14ac:dyDescent="0.3">
      <c r="A14" s="5"/>
      <c r="B14" s="5"/>
      <c r="C14" s="5"/>
      <c r="D14" s="5"/>
      <c r="E14" s="5"/>
      <c r="F14" s="5"/>
      <c r="G14" s="5"/>
      <c r="H14" s="5"/>
      <c r="I14" s="5"/>
      <c r="J14" s="5"/>
    </row>
    <row r="15" spans="1:10" x14ac:dyDescent="0.3">
      <c r="A15" s="5"/>
      <c r="B15" s="5"/>
      <c r="C15" s="6" t="s">
        <v>7</v>
      </c>
      <c r="D15" s="5"/>
      <c r="E15" s="5"/>
      <c r="F15" s="5"/>
      <c r="G15" s="5"/>
      <c r="H15" s="5"/>
      <c r="I15" s="5"/>
      <c r="J15" s="5"/>
    </row>
    <row r="16" spans="1:10" x14ac:dyDescent="0.3">
      <c r="A16" s="5"/>
      <c r="B16" s="5"/>
      <c r="C16" s="5"/>
      <c r="D16" s="5"/>
      <c r="E16" s="5"/>
      <c r="F16" s="5"/>
      <c r="G16" s="5"/>
      <c r="H16" s="5"/>
      <c r="I16" s="5"/>
      <c r="J16"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67458-4B9E-4BBE-A4F4-EDD2CB7842B5}">
  <dimension ref="A1:S22"/>
  <sheetViews>
    <sheetView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ht="15.6" x14ac:dyDescent="0.3">
      <c r="A21" s="5"/>
      <c r="B21" s="5"/>
      <c r="C21" s="7" t="s">
        <v>28</v>
      </c>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D33D-420D-4A39-86B2-3BCDE104BF90}">
  <dimension ref="A1:S20"/>
  <sheetViews>
    <sheetView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ht="15.6" x14ac:dyDescent="0.3">
      <c r="A18" s="5"/>
      <c r="B18" s="5"/>
      <c r="C18" s="7" t="s">
        <v>30</v>
      </c>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F66C1-4CBC-4E3D-8925-DA7592B21900}">
  <dimension ref="A3:J84"/>
  <sheetViews>
    <sheetView tabSelected="1" topLeftCell="A7" workbookViewId="0">
      <selection activeCell="D55" sqref="D55:E59"/>
    </sheetView>
  </sheetViews>
  <sheetFormatPr defaultRowHeight="14.4" x14ac:dyDescent="0.3"/>
  <cols>
    <col min="1" max="1" width="31.77734375" bestFit="1" customWidth="1"/>
    <col min="2" max="2" width="27.44140625" bestFit="1" customWidth="1"/>
    <col min="3" max="3" width="28.44140625" bestFit="1" customWidth="1"/>
    <col min="4" max="4" width="23.33203125" bestFit="1" customWidth="1"/>
    <col min="5" max="5" width="23" bestFit="1" customWidth="1"/>
    <col min="6" max="6" width="26.109375" bestFit="1" customWidth="1"/>
    <col min="7" max="7" width="24.21875" bestFit="1" customWidth="1"/>
    <col min="9" max="9" width="20" bestFit="1" customWidth="1"/>
    <col min="10" max="10" width="31.77734375" bestFit="1" customWidth="1"/>
    <col min="11" max="11" width="23.33203125" bestFit="1" customWidth="1"/>
    <col min="14" max="14" width="20" bestFit="1" customWidth="1"/>
    <col min="15" max="15" width="24.21875" bestFit="1" customWidth="1"/>
  </cols>
  <sheetData>
    <row r="3" spans="1:10" x14ac:dyDescent="0.3">
      <c r="A3" t="s">
        <v>1</v>
      </c>
    </row>
    <row r="4" spans="1:10" x14ac:dyDescent="0.3">
      <c r="A4" t="s">
        <v>0</v>
      </c>
      <c r="C4" t="s">
        <v>8</v>
      </c>
      <c r="F4" t="s">
        <v>9</v>
      </c>
      <c r="I4" t="s">
        <v>29</v>
      </c>
    </row>
    <row r="5" spans="1:10" x14ac:dyDescent="0.3">
      <c r="A5">
        <v>513</v>
      </c>
      <c r="C5" s="1" t="s">
        <v>4</v>
      </c>
      <c r="D5" t="s">
        <v>0</v>
      </c>
      <c r="F5" s="1" t="s">
        <v>4</v>
      </c>
      <c r="G5" t="s">
        <v>2</v>
      </c>
      <c r="I5" s="1" t="s">
        <v>4</v>
      </c>
      <c r="J5" t="s">
        <v>3</v>
      </c>
    </row>
    <row r="6" spans="1:10" x14ac:dyDescent="0.3">
      <c r="C6" s="4" t="s">
        <v>46</v>
      </c>
      <c r="D6">
        <v>19</v>
      </c>
      <c r="F6" s="4" t="s">
        <v>46</v>
      </c>
      <c r="G6" s="2">
        <v>37.789473684210527</v>
      </c>
      <c r="I6" s="4" t="s">
        <v>46</v>
      </c>
      <c r="J6" s="2">
        <v>6.666666666666667</v>
      </c>
    </row>
    <row r="7" spans="1:10" x14ac:dyDescent="0.3">
      <c r="C7" s="4" t="s">
        <v>47</v>
      </c>
      <c r="D7">
        <v>14</v>
      </c>
      <c r="F7" s="4" t="s">
        <v>47</v>
      </c>
      <c r="G7" s="2">
        <v>38.214285714285715</v>
      </c>
      <c r="I7" s="4" t="s">
        <v>47</v>
      </c>
      <c r="J7" s="2">
        <v>3.5</v>
      </c>
    </row>
    <row r="8" spans="1:10" x14ac:dyDescent="0.3">
      <c r="C8" s="4" t="s">
        <v>48</v>
      </c>
      <c r="D8">
        <v>13</v>
      </c>
      <c r="F8" s="4" t="s">
        <v>48</v>
      </c>
      <c r="G8" s="2">
        <v>40.92307692307692</v>
      </c>
      <c r="I8" s="4" t="s">
        <v>48</v>
      </c>
      <c r="J8" s="2">
        <v>4.5</v>
      </c>
    </row>
    <row r="9" spans="1:10" x14ac:dyDescent="0.3">
      <c r="A9" t="s">
        <v>2</v>
      </c>
      <c r="C9" s="4" t="s">
        <v>49</v>
      </c>
      <c r="D9">
        <v>22</v>
      </c>
      <c r="F9" s="4" t="s">
        <v>49</v>
      </c>
      <c r="G9" s="2">
        <v>34.5</v>
      </c>
      <c r="I9" s="4" t="s">
        <v>49</v>
      </c>
      <c r="J9" s="2">
        <v>4.8</v>
      </c>
    </row>
    <row r="10" spans="1:10" x14ac:dyDescent="0.3">
      <c r="A10" s="2">
        <v>36.323586744639378</v>
      </c>
      <c r="C10" s="4" t="s">
        <v>50</v>
      </c>
      <c r="D10">
        <v>19</v>
      </c>
      <c r="F10" s="4" t="s">
        <v>50</v>
      </c>
      <c r="G10" s="2">
        <v>30.684210526315791</v>
      </c>
      <c r="I10" s="4" t="s">
        <v>50</v>
      </c>
      <c r="J10" s="2">
        <v>7.75</v>
      </c>
    </row>
    <row r="11" spans="1:10" x14ac:dyDescent="0.3">
      <c r="C11" s="4" t="s">
        <v>51</v>
      </c>
      <c r="D11">
        <v>15</v>
      </c>
      <c r="F11" s="4" t="s">
        <v>51</v>
      </c>
      <c r="G11" s="2">
        <v>37.666666666666664</v>
      </c>
      <c r="I11" s="4" t="s">
        <v>51</v>
      </c>
      <c r="J11" s="2">
        <v>6.2</v>
      </c>
    </row>
    <row r="12" spans="1:10" x14ac:dyDescent="0.3">
      <c r="C12" s="4" t="s">
        <v>52</v>
      </c>
      <c r="D12">
        <v>12</v>
      </c>
      <c r="F12" s="4" t="s">
        <v>52</v>
      </c>
      <c r="G12" s="2">
        <v>36.083333333333336</v>
      </c>
      <c r="I12" s="4" t="s">
        <v>52</v>
      </c>
      <c r="J12" s="2">
        <v>3.75</v>
      </c>
    </row>
    <row r="13" spans="1:10" x14ac:dyDescent="0.3">
      <c r="C13" s="4" t="s">
        <v>53</v>
      </c>
      <c r="D13">
        <v>21</v>
      </c>
      <c r="F13" s="4" t="s">
        <v>53</v>
      </c>
      <c r="G13" s="2">
        <v>43.523809523809526</v>
      </c>
      <c r="I13" s="4" t="s">
        <v>53</v>
      </c>
      <c r="J13" s="2">
        <v>6.5</v>
      </c>
    </row>
    <row r="14" spans="1:10" x14ac:dyDescent="0.3">
      <c r="A14" t="s">
        <v>3</v>
      </c>
      <c r="C14" s="4" t="s">
        <v>54</v>
      </c>
      <c r="D14">
        <v>12</v>
      </c>
      <c r="F14" s="4" t="s">
        <v>54</v>
      </c>
      <c r="G14" s="2">
        <v>29.5</v>
      </c>
      <c r="I14" s="4" t="s">
        <v>54</v>
      </c>
      <c r="J14" s="2">
        <v>3</v>
      </c>
    </row>
    <row r="15" spans="1:10" x14ac:dyDescent="0.3">
      <c r="A15" s="2">
        <v>4.9591836734693882</v>
      </c>
      <c r="C15" s="4" t="s">
        <v>55</v>
      </c>
      <c r="D15">
        <v>13</v>
      </c>
      <c r="F15" s="4" t="s">
        <v>55</v>
      </c>
      <c r="G15" s="2">
        <v>38.07692307692308</v>
      </c>
      <c r="I15" s="4" t="s">
        <v>55</v>
      </c>
      <c r="J15" s="2">
        <v>4.5</v>
      </c>
    </row>
    <row r="16" spans="1:10" x14ac:dyDescent="0.3">
      <c r="C16" s="4" t="s">
        <v>56</v>
      </c>
      <c r="D16">
        <v>13</v>
      </c>
      <c r="F16" s="4" t="s">
        <v>56</v>
      </c>
      <c r="G16" s="2">
        <v>35.846153846153847</v>
      </c>
      <c r="I16" s="4" t="s">
        <v>56</v>
      </c>
      <c r="J16" s="2">
        <v>6</v>
      </c>
    </row>
    <row r="17" spans="3:10" x14ac:dyDescent="0.3">
      <c r="C17" s="4" t="s">
        <v>57</v>
      </c>
      <c r="D17">
        <v>16</v>
      </c>
      <c r="F17" s="4" t="s">
        <v>57</v>
      </c>
      <c r="G17" s="2">
        <v>32.625</v>
      </c>
      <c r="I17" s="4" t="s">
        <v>57</v>
      </c>
      <c r="J17" s="2">
        <v>5.2</v>
      </c>
    </row>
    <row r="18" spans="3:10" x14ac:dyDescent="0.3">
      <c r="C18" s="4" t="s">
        <v>58</v>
      </c>
      <c r="D18">
        <v>20</v>
      </c>
      <c r="F18" s="4" t="s">
        <v>58</v>
      </c>
      <c r="G18" s="2">
        <v>39.200000000000003</v>
      </c>
      <c r="I18" s="4" t="s">
        <v>58</v>
      </c>
      <c r="J18" s="2">
        <v>4.4000000000000004</v>
      </c>
    </row>
    <row r="19" spans="3:10" x14ac:dyDescent="0.3">
      <c r="C19" s="4" t="s">
        <v>59</v>
      </c>
      <c r="D19">
        <v>25</v>
      </c>
      <c r="F19" s="4" t="s">
        <v>59</v>
      </c>
      <c r="G19" s="2">
        <v>35.28</v>
      </c>
      <c r="I19" s="4" t="s">
        <v>59</v>
      </c>
      <c r="J19" s="2">
        <v>3.4545454545454546</v>
      </c>
    </row>
    <row r="20" spans="3:10" x14ac:dyDescent="0.3">
      <c r="C20" s="4" t="s">
        <v>60</v>
      </c>
      <c r="D20">
        <v>20</v>
      </c>
      <c r="F20" s="4" t="s">
        <v>60</v>
      </c>
      <c r="G20" s="2">
        <v>32.549999999999997</v>
      </c>
      <c r="I20" s="4" t="s">
        <v>60</v>
      </c>
      <c r="J20" s="2">
        <v>4.4000000000000004</v>
      </c>
    </row>
    <row r="21" spans="3:10" x14ac:dyDescent="0.3">
      <c r="C21" s="4" t="s">
        <v>61</v>
      </c>
      <c r="D21">
        <v>14</v>
      </c>
      <c r="F21" s="4" t="s">
        <v>61</v>
      </c>
      <c r="G21" s="2">
        <v>35.642857142857146</v>
      </c>
      <c r="I21" s="4" t="s">
        <v>61</v>
      </c>
      <c r="J21" s="2">
        <v>5.833333333333333</v>
      </c>
    </row>
    <row r="22" spans="3:10" x14ac:dyDescent="0.3">
      <c r="C22" s="4" t="s">
        <v>62</v>
      </c>
      <c r="D22">
        <v>17</v>
      </c>
      <c r="F22" s="4" t="s">
        <v>62</v>
      </c>
      <c r="G22" s="2">
        <v>38.764705882352942</v>
      </c>
      <c r="I22" s="4" t="s">
        <v>62</v>
      </c>
      <c r="J22" s="2">
        <v>4.4444444444444446</v>
      </c>
    </row>
    <row r="23" spans="3:10" x14ac:dyDescent="0.3">
      <c r="C23" s="4" t="s">
        <v>63</v>
      </c>
      <c r="D23">
        <v>20</v>
      </c>
      <c r="F23" s="4" t="s">
        <v>63</v>
      </c>
      <c r="G23" s="2">
        <v>39.9</v>
      </c>
      <c r="I23" s="4" t="s">
        <v>63</v>
      </c>
      <c r="J23" s="2">
        <v>5.333333333333333</v>
      </c>
    </row>
    <row r="24" spans="3:10" x14ac:dyDescent="0.3">
      <c r="C24" s="4" t="s">
        <v>64</v>
      </c>
      <c r="D24">
        <v>10</v>
      </c>
      <c r="F24" s="4" t="s">
        <v>64</v>
      </c>
      <c r="G24" s="2">
        <v>41.6</v>
      </c>
      <c r="I24" s="4" t="s">
        <v>64</v>
      </c>
      <c r="J24" s="2">
        <v>5.333333333333333</v>
      </c>
    </row>
    <row r="25" spans="3:10" x14ac:dyDescent="0.3">
      <c r="C25" s="4" t="s">
        <v>65</v>
      </c>
      <c r="D25">
        <v>17</v>
      </c>
      <c r="F25" s="4" t="s">
        <v>65</v>
      </c>
      <c r="G25" s="2">
        <v>39.470588235294116</v>
      </c>
      <c r="I25" s="4" t="s">
        <v>65</v>
      </c>
      <c r="J25" s="2">
        <v>5.5714285714285712</v>
      </c>
    </row>
    <row r="26" spans="3:10" x14ac:dyDescent="0.3">
      <c r="C26" s="4" t="s">
        <v>66</v>
      </c>
      <c r="D26">
        <v>15</v>
      </c>
      <c r="F26" s="4" t="s">
        <v>66</v>
      </c>
      <c r="G26" s="2">
        <v>27.733333333333334</v>
      </c>
      <c r="I26" s="4" t="s">
        <v>66</v>
      </c>
      <c r="J26" s="2">
        <v>5</v>
      </c>
    </row>
    <row r="27" spans="3:10" x14ac:dyDescent="0.3">
      <c r="C27" s="4" t="s">
        <v>67</v>
      </c>
      <c r="D27">
        <v>16</v>
      </c>
      <c r="F27" s="4" t="s">
        <v>67</v>
      </c>
      <c r="G27" s="2">
        <v>36.875</v>
      </c>
      <c r="I27" s="4" t="s">
        <v>67</v>
      </c>
      <c r="J27" s="2">
        <v>6.4</v>
      </c>
    </row>
    <row r="28" spans="3:10" x14ac:dyDescent="0.3">
      <c r="C28" s="4" t="s">
        <v>68</v>
      </c>
      <c r="D28">
        <v>18</v>
      </c>
      <c r="F28" s="4" t="s">
        <v>68</v>
      </c>
      <c r="G28" s="2">
        <v>40.333333333333336</v>
      </c>
      <c r="I28" s="4" t="s">
        <v>68</v>
      </c>
      <c r="J28" s="2">
        <v>5.333333333333333</v>
      </c>
    </row>
    <row r="29" spans="3:10" x14ac:dyDescent="0.3">
      <c r="C29" s="4" t="s">
        <v>69</v>
      </c>
      <c r="D29">
        <v>16</v>
      </c>
      <c r="F29" s="4" t="s">
        <v>69</v>
      </c>
      <c r="G29" s="2">
        <v>36.5</v>
      </c>
      <c r="I29" s="4" t="s">
        <v>69</v>
      </c>
      <c r="J29" s="2">
        <v>3.75</v>
      </c>
    </row>
    <row r="30" spans="3:10" x14ac:dyDescent="0.3">
      <c r="C30" s="4" t="s">
        <v>70</v>
      </c>
      <c r="D30">
        <v>15</v>
      </c>
      <c r="F30" s="4" t="s">
        <v>70</v>
      </c>
      <c r="G30" s="2">
        <v>32.866666666666667</v>
      </c>
      <c r="I30" s="4" t="s">
        <v>70</v>
      </c>
      <c r="J30" s="2">
        <v>6.333333333333333</v>
      </c>
    </row>
    <row r="31" spans="3:10" x14ac:dyDescent="0.3">
      <c r="C31" s="4" t="s">
        <v>71</v>
      </c>
      <c r="D31">
        <v>14</v>
      </c>
      <c r="F31" s="4" t="s">
        <v>71</v>
      </c>
      <c r="G31" s="2">
        <v>36.642857142857146</v>
      </c>
      <c r="I31" s="4" t="s">
        <v>71</v>
      </c>
      <c r="J31" s="2">
        <v>10</v>
      </c>
    </row>
    <row r="32" spans="3:10" x14ac:dyDescent="0.3">
      <c r="C32" s="4" t="s">
        <v>72</v>
      </c>
      <c r="D32">
        <v>16</v>
      </c>
      <c r="F32" s="4" t="s">
        <v>72</v>
      </c>
      <c r="G32" s="2">
        <v>36.5625</v>
      </c>
      <c r="I32" s="4" t="s">
        <v>72</v>
      </c>
      <c r="J32" s="2">
        <v>5</v>
      </c>
    </row>
    <row r="33" spans="1:10" x14ac:dyDescent="0.3">
      <c r="C33" s="4" t="s">
        <v>73</v>
      </c>
      <c r="D33">
        <v>20</v>
      </c>
      <c r="F33" s="4" t="s">
        <v>73</v>
      </c>
      <c r="G33" s="2">
        <v>32.15</v>
      </c>
      <c r="I33" s="4" t="s">
        <v>73</v>
      </c>
      <c r="J33" s="2">
        <v>5.333333333333333</v>
      </c>
    </row>
    <row r="34" spans="1:10" x14ac:dyDescent="0.3">
      <c r="C34" s="4" t="s">
        <v>74</v>
      </c>
      <c r="D34">
        <v>19</v>
      </c>
      <c r="F34" s="4" t="s">
        <v>74</v>
      </c>
      <c r="G34" s="2">
        <v>38.368421052631582</v>
      </c>
      <c r="I34" s="4" t="s">
        <v>74</v>
      </c>
      <c r="J34" s="2">
        <v>4.8</v>
      </c>
    </row>
    <row r="35" spans="1:10" x14ac:dyDescent="0.3">
      <c r="C35" s="4" t="s">
        <v>75</v>
      </c>
      <c r="D35">
        <v>14</v>
      </c>
      <c r="F35" s="4" t="s">
        <v>75</v>
      </c>
      <c r="G35" s="2">
        <v>33.071428571428569</v>
      </c>
      <c r="I35" s="4" t="s">
        <v>75</v>
      </c>
      <c r="J35" s="2">
        <v>5</v>
      </c>
    </row>
    <row r="36" spans="1:10" x14ac:dyDescent="0.3">
      <c r="C36" s="4" t="s">
        <v>76</v>
      </c>
      <c r="D36">
        <v>18</v>
      </c>
      <c r="F36" s="4" t="s">
        <v>76</v>
      </c>
      <c r="G36" s="2">
        <v>36.444444444444443</v>
      </c>
      <c r="I36" s="4" t="s">
        <v>76</v>
      </c>
      <c r="J36" s="2">
        <v>1.4</v>
      </c>
    </row>
    <row r="37" spans="1:10" x14ac:dyDescent="0.3">
      <c r="C37" s="4" t="s">
        <v>5</v>
      </c>
      <c r="D37">
        <v>513</v>
      </c>
      <c r="F37" s="4" t="s">
        <v>5</v>
      </c>
      <c r="G37">
        <v>36.323586744639378</v>
      </c>
      <c r="I37" s="4" t="s">
        <v>5</v>
      </c>
      <c r="J37">
        <v>4.9591836734693882</v>
      </c>
    </row>
    <row r="42" spans="1:10" x14ac:dyDescent="0.3">
      <c r="A42" s="1" t="s">
        <v>4</v>
      </c>
      <c r="B42" t="s">
        <v>31</v>
      </c>
      <c r="C42" t="s">
        <v>32</v>
      </c>
    </row>
    <row r="43" spans="1:10" x14ac:dyDescent="0.3">
      <c r="A43" s="4" t="s">
        <v>12</v>
      </c>
      <c r="B43" s="2">
        <v>269</v>
      </c>
      <c r="C43" s="16">
        <v>0.52436647173489281</v>
      </c>
    </row>
    <row r="44" spans="1:10" x14ac:dyDescent="0.3">
      <c r="A44" s="4" t="s">
        <v>16</v>
      </c>
      <c r="B44" s="2">
        <v>244</v>
      </c>
      <c r="C44" s="16">
        <v>0.47563352826510719</v>
      </c>
    </row>
    <row r="45" spans="1:10" x14ac:dyDescent="0.3">
      <c r="A45" s="4" t="s">
        <v>5</v>
      </c>
      <c r="B45" s="2">
        <v>513</v>
      </c>
      <c r="C45" s="8">
        <v>1</v>
      </c>
    </row>
    <row r="49" spans="1:5" ht="12.45" customHeight="1" x14ac:dyDescent="0.3">
      <c r="A49" s="9" t="s">
        <v>33</v>
      </c>
      <c r="B49" s="10" t="s">
        <v>1</v>
      </c>
      <c r="C49" s="10" t="s">
        <v>34</v>
      </c>
      <c r="D49" s="11"/>
      <c r="E49" s="11"/>
    </row>
    <row r="50" spans="1:5" ht="12.45" customHeight="1" x14ac:dyDescent="0.3">
      <c r="A50" s="12" t="str">
        <f>A44</f>
        <v>Not Admitted</v>
      </c>
      <c r="B50" s="12">
        <f>B44</f>
        <v>244</v>
      </c>
      <c r="C50" s="13">
        <f>C44</f>
        <v>0.47563352826510719</v>
      </c>
      <c r="D50" s="12"/>
      <c r="E50" s="12"/>
    </row>
    <row r="51" spans="1:5" ht="12.45" customHeight="1" x14ac:dyDescent="0.3">
      <c r="A51" s="12" t="str">
        <f>A43</f>
        <v>Admitted</v>
      </c>
      <c r="B51" s="12">
        <f>B43</f>
        <v>269</v>
      </c>
      <c r="C51" s="13">
        <f>C43</f>
        <v>0.52436647173489281</v>
      </c>
      <c r="D51" s="12"/>
      <c r="E51" s="12"/>
    </row>
    <row r="54" spans="1:5" x14ac:dyDescent="0.3">
      <c r="A54" t="s">
        <v>37</v>
      </c>
    </row>
    <row r="55" spans="1:5" x14ac:dyDescent="0.3">
      <c r="A55" s="1" t="s">
        <v>4</v>
      </c>
      <c r="B55" t="s">
        <v>35</v>
      </c>
      <c r="D55" t="s">
        <v>41</v>
      </c>
    </row>
    <row r="56" spans="1:5" x14ac:dyDescent="0.3">
      <c r="A56" s="4" t="s">
        <v>19</v>
      </c>
      <c r="B56" s="14">
        <v>72</v>
      </c>
      <c r="D56" s="1" t="s">
        <v>4</v>
      </c>
      <c r="E56" t="s">
        <v>40</v>
      </c>
    </row>
    <row r="57" spans="1:5" x14ac:dyDescent="0.3">
      <c r="A57" s="4" t="s">
        <v>26</v>
      </c>
      <c r="B57" s="14">
        <v>68</v>
      </c>
      <c r="D57" s="4" t="s">
        <v>15</v>
      </c>
      <c r="E57" s="2">
        <v>241</v>
      </c>
    </row>
    <row r="58" spans="1:5" x14ac:dyDescent="0.3">
      <c r="A58" s="4" t="s">
        <v>17</v>
      </c>
      <c r="B58" s="14">
        <v>58</v>
      </c>
      <c r="D58" s="4" t="s">
        <v>10</v>
      </c>
      <c r="E58" s="2">
        <v>272</v>
      </c>
    </row>
    <row r="59" spans="1:5" x14ac:dyDescent="0.3">
      <c r="A59" s="4" t="s">
        <v>13</v>
      </c>
      <c r="B59" s="14">
        <v>64</v>
      </c>
      <c r="D59" s="4" t="s">
        <v>5</v>
      </c>
      <c r="E59" s="2">
        <v>513</v>
      </c>
    </row>
    <row r="60" spans="1:5" x14ac:dyDescent="0.3">
      <c r="A60" s="4" t="s">
        <v>36</v>
      </c>
      <c r="B60" s="14">
        <v>58</v>
      </c>
    </row>
    <row r="61" spans="1:5" x14ac:dyDescent="0.3">
      <c r="A61" s="4" t="s">
        <v>21</v>
      </c>
      <c r="B61" s="14">
        <v>68</v>
      </c>
    </row>
    <row r="62" spans="1:5" x14ac:dyDescent="0.3">
      <c r="A62" s="4" t="s">
        <v>25</v>
      </c>
      <c r="B62" s="14">
        <v>68</v>
      </c>
    </row>
    <row r="63" spans="1:5" x14ac:dyDescent="0.3">
      <c r="A63" s="4" t="s">
        <v>20</v>
      </c>
      <c r="B63" s="14">
        <v>57</v>
      </c>
    </row>
    <row r="64" spans="1:5" x14ac:dyDescent="0.3">
      <c r="A64" s="4" t="s">
        <v>5</v>
      </c>
      <c r="B64" s="2">
        <v>513</v>
      </c>
    </row>
    <row r="65" spans="1:5" x14ac:dyDescent="0.3">
      <c r="E65" s="1" t="s">
        <v>4</v>
      </c>
    </row>
    <row r="66" spans="1:5" x14ac:dyDescent="0.3">
      <c r="E66" s="4" t="s">
        <v>6</v>
      </c>
    </row>
    <row r="67" spans="1:5" x14ac:dyDescent="0.3">
      <c r="A67" s="4" t="s">
        <v>39</v>
      </c>
      <c r="E67" s="4" t="s">
        <v>5</v>
      </c>
    </row>
    <row r="68" spans="1:5" x14ac:dyDescent="0.3">
      <c r="A68" s="1" t="s">
        <v>4</v>
      </c>
      <c r="B68" t="s">
        <v>38</v>
      </c>
    </row>
    <row r="69" spans="1:5" x14ac:dyDescent="0.3">
      <c r="A69" s="4" t="s">
        <v>18</v>
      </c>
      <c r="B69" s="2">
        <v>316</v>
      </c>
    </row>
    <row r="70" spans="1:5" x14ac:dyDescent="0.3">
      <c r="A70" s="4" t="s">
        <v>14</v>
      </c>
      <c r="B70" s="2">
        <v>197</v>
      </c>
    </row>
    <row r="71" spans="1:5" x14ac:dyDescent="0.3">
      <c r="A71" s="4" t="s">
        <v>5</v>
      </c>
      <c r="B71" s="2">
        <v>513</v>
      </c>
    </row>
    <row r="75" spans="1:5" x14ac:dyDescent="0.3">
      <c r="A75" s="1" t="s">
        <v>4</v>
      </c>
      <c r="B75" t="s">
        <v>45</v>
      </c>
    </row>
    <row r="76" spans="1:5" x14ac:dyDescent="0.3">
      <c r="A76" s="4" t="s">
        <v>42</v>
      </c>
      <c r="B76" s="14">
        <v>4</v>
      </c>
    </row>
    <row r="77" spans="1:5" x14ac:dyDescent="0.3">
      <c r="A77" s="4" t="s">
        <v>44</v>
      </c>
      <c r="B77" s="14">
        <v>5</v>
      </c>
    </row>
    <row r="78" spans="1:5" x14ac:dyDescent="0.3">
      <c r="A78" s="4" t="s">
        <v>27</v>
      </c>
      <c r="B78" s="14">
        <v>9</v>
      </c>
    </row>
    <row r="79" spans="1:5" x14ac:dyDescent="0.3">
      <c r="A79" s="4" t="s">
        <v>43</v>
      </c>
      <c r="B79" s="14">
        <v>14</v>
      </c>
    </row>
    <row r="80" spans="1:5" x14ac:dyDescent="0.3">
      <c r="A80" s="4" t="s">
        <v>24</v>
      </c>
      <c r="B80" s="14">
        <v>14</v>
      </c>
    </row>
    <row r="81" spans="1:2" x14ac:dyDescent="0.3">
      <c r="A81" s="4" t="s">
        <v>23</v>
      </c>
      <c r="B81" s="14">
        <v>65</v>
      </c>
    </row>
    <row r="82" spans="1:2" x14ac:dyDescent="0.3">
      <c r="A82" s="4" t="s">
        <v>22</v>
      </c>
      <c r="B82" s="14">
        <v>103</v>
      </c>
    </row>
    <row r="83" spans="1:2" x14ac:dyDescent="0.3">
      <c r="A83" s="4" t="s">
        <v>11</v>
      </c>
      <c r="B83" s="14">
        <v>299</v>
      </c>
    </row>
    <row r="84" spans="1:2" x14ac:dyDescent="0.3">
      <c r="A84" s="4" t="s">
        <v>5</v>
      </c>
      <c r="B84" s="2">
        <v>513</v>
      </c>
    </row>
  </sheetData>
  <pageMargins left="0.7" right="0.7" top="0.75" bottom="0.75" header="0.3" footer="0.3"/>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665C733-244F-41BA-B908-0522047AE073}">
  <ds:schemaRefs/>
</ds:datastoreItem>
</file>

<file path=customXml/itemProps2.xml><?xml version="1.0" encoding="utf-8"?>
<ds:datastoreItem xmlns:ds="http://schemas.openxmlformats.org/officeDocument/2006/customXml" ds:itemID="{04FBCA83-C5D4-409B-AF4C-2DDE0BF6431D}">
  <ds:schemaRefs/>
</ds:datastoreItem>
</file>

<file path=customXml/itemProps3.xml><?xml version="1.0" encoding="utf-8"?>
<ds:datastoreItem xmlns:ds="http://schemas.openxmlformats.org/officeDocument/2006/customXml" ds:itemID="{14162D5D-FDC6-4FEA-914A-D2A320DCDD28}">
  <ds:schemaRefs/>
</ds:datastoreItem>
</file>

<file path=customXml/itemProps4.xml><?xml version="1.0" encoding="utf-8"?>
<ds:datastoreItem xmlns:ds="http://schemas.openxmlformats.org/officeDocument/2006/customXml" ds:itemID="{E395D02B-CC13-429F-8CD8-3E9F3793AB75}">
  <ds:schemaRefs/>
</ds:datastoreItem>
</file>

<file path=customXml/itemProps5.xml><?xml version="1.0" encoding="utf-8"?>
<ds:datastoreItem xmlns:ds="http://schemas.openxmlformats.org/officeDocument/2006/customXml" ds:itemID="{2CCB48D4-10CC-4A9F-B634-663E6EC02AA6}">
  <ds:schemaRefs/>
</ds:datastoreItem>
</file>

<file path=customXml/itemProps6.xml><?xml version="1.0" encoding="utf-8"?>
<ds:datastoreItem xmlns:ds="http://schemas.openxmlformats.org/officeDocument/2006/customXml" ds:itemID="{9DF37D69-6B65-4991-9630-CDB2D205B04E}">
  <ds:schemaRefs>
    <ds:schemaRef ds:uri="http://schemas.microsoft.com/DataMashup"/>
  </ds:schemaRefs>
</ds:datastoreItem>
</file>

<file path=customXml/itemProps7.xml><?xml version="1.0" encoding="utf-8"?>
<ds:datastoreItem xmlns:ds="http://schemas.openxmlformats.org/officeDocument/2006/customXml" ds:itemID="{58CD46A0-6AA3-4541-884B-16164B09C398}">
  <ds:schemaRefs/>
</ds:datastoreItem>
</file>

<file path=customXml/itemProps8.xml><?xml version="1.0" encoding="utf-8"?>
<ds:datastoreItem xmlns:ds="http://schemas.openxmlformats.org/officeDocument/2006/customXml" ds:itemID="{F05D8AB3-BBE5-4455-AB64-25241303987A}">
  <ds:schemaRefs/>
</ds:datastoreItem>
</file>

<file path=customXml/itemProps9.xml><?xml version="1.0" encoding="utf-8"?>
<ds:datastoreItem xmlns:ds="http://schemas.openxmlformats.org/officeDocument/2006/customXml" ds:itemID="{655E0DBF-0905-434D-80C0-000E052F485F}">
  <ds:schemaRefs/>
</ds:datastoreItem>
</file>

<file path=customXml/itemProps10.xml><?xml version="1.0" encoding="utf-8"?>
<ds:datastoreItem xmlns:ds="http://schemas.openxmlformats.org/officeDocument/2006/customXml" ds:itemID="{46593E8B-FB58-4A88-AC5A-94E0A268947B}">
  <ds:schemaRefs/>
</ds:datastoreItem>
</file>

<file path=customXml/itemProps11.xml><?xml version="1.0" encoding="utf-8"?>
<ds:datastoreItem xmlns:ds="http://schemas.openxmlformats.org/officeDocument/2006/customXml" ds:itemID="{02DC6F43-C9EC-441A-93C6-34CF8A4EA8BA}">
  <ds:schemaRefs/>
</ds:datastoreItem>
</file>

<file path=customXml/itemProps12.xml><?xml version="1.0" encoding="utf-8"?>
<ds:datastoreItem xmlns:ds="http://schemas.openxmlformats.org/officeDocument/2006/customXml" ds:itemID="{A91AD2C1-C2C3-4E65-8DA7-E6630DE19835}">
  <ds:schemaRefs/>
</ds:datastoreItem>
</file>

<file path=customXml/itemProps13.xml><?xml version="1.0" encoding="utf-8"?>
<ds:datastoreItem xmlns:ds="http://schemas.openxmlformats.org/officeDocument/2006/customXml" ds:itemID="{46DC32F3-0314-4FAA-AEBD-D90FBE51CEC8}">
  <ds:schemaRefs/>
</ds:datastoreItem>
</file>

<file path=customXml/itemProps14.xml><?xml version="1.0" encoding="utf-8"?>
<ds:datastoreItem xmlns:ds="http://schemas.openxmlformats.org/officeDocument/2006/customXml" ds:itemID="{BA40320D-7137-4E1D-9D86-825A33E8CAC5}">
  <ds:schemaRefs/>
</ds:datastoreItem>
</file>

<file path=customXml/itemProps15.xml><?xml version="1.0" encoding="utf-8"?>
<ds:datastoreItem xmlns:ds="http://schemas.openxmlformats.org/officeDocument/2006/customXml" ds:itemID="{4F2B3777-7D12-47A4-BFA1-E7C354CCF505}">
  <ds:schemaRefs/>
</ds:datastoreItem>
</file>

<file path=customXml/itemProps16.xml><?xml version="1.0" encoding="utf-8"?>
<ds:datastoreItem xmlns:ds="http://schemas.openxmlformats.org/officeDocument/2006/customXml" ds:itemID="{7AAB79A5-63E2-4184-9FF9-5EEE12A96CC3}">
  <ds:schemaRefs/>
</ds:datastoreItem>
</file>

<file path=customXml/itemProps17.xml><?xml version="1.0" encoding="utf-8"?>
<ds:datastoreItem xmlns:ds="http://schemas.openxmlformats.org/officeDocument/2006/customXml" ds:itemID="{61F2178B-7BEE-4803-8506-DF5ECA9849F1}">
  <ds:schemaRefs/>
</ds:datastoreItem>
</file>

<file path=customXml/itemProps18.xml><?xml version="1.0" encoding="utf-8"?>
<ds:datastoreItem xmlns:ds="http://schemas.openxmlformats.org/officeDocument/2006/customXml" ds:itemID="{8278DC9F-C653-494A-A05D-A7AE58E2AF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Daily ER No. Of Patient</vt:lpstr>
      <vt:lpstr>Avg. waittime daily trend</vt:lpstr>
      <vt:lpstr>Daily satisfaction score</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Ujjwal Tiwari</dc:creator>
  <cp:lastModifiedBy>Ujjwal Tiwari</cp:lastModifiedBy>
  <dcterms:created xsi:type="dcterms:W3CDTF">2026-07-03T03:43:15Z</dcterms:created>
  <dcterms:modified xsi:type="dcterms:W3CDTF">2026-07-12T16:49:03Z</dcterms:modified>
</cp:coreProperties>
</file>